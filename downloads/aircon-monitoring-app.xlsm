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B\Documents\ENGINEER BUILDS\APPLICATION\"/>
    </mc:Choice>
  </mc:AlternateContent>
  <xr:revisionPtr revIDLastSave="0" documentId="13_ncr:1_{5F37FD3A-8C64-4769-AED5-88D59D92B85A}" xr6:coauthVersionLast="36" xr6:coauthVersionMax="36" xr10:uidLastSave="{00000000-0000-0000-0000-000000000000}"/>
  <bookViews>
    <workbookView showHorizontalScroll="0" showVerticalScroll="0" showSheetTabs="0" xWindow="0" yWindow="0" windowWidth="19180" windowHeight="7880" activeTab="7" xr2:uid="{E8BD4983-3FEE-4C8C-9E9D-83DD8B764EDE}"/>
  </bookViews>
  <sheets>
    <sheet name="HOME" sheetId="2" r:id="rId1"/>
    <sheet name="AC_UNITS" sheetId="3" r:id="rId2"/>
    <sheet name="BUILDINGS" sheetId="4" r:id="rId3"/>
    <sheet name="MAINTENANCE" sheetId="5" r:id="rId4"/>
    <sheet name="AC_SELECTOR" sheetId="8" r:id="rId5"/>
    <sheet name="MAINT_ENTRY" sheetId="9" r:id="rId6"/>
    <sheet name="REPORTS" sheetId="7" r:id="rId7"/>
    <sheet name="REPORT_VIEW" sheetId="10" r:id="rId8"/>
    <sheet name="SETTINGS" sheetId="6" r:id="rId9"/>
  </sheets>
  <functionGroups builtInGroupCount="19"/>
  <definedNames>
    <definedName name="AC_BUILDING_SEARCH">BUILDINGS!$E$21</definedName>
    <definedName name="AC_ENTRY_ACTION">MAINT_ENTRY!$E$22</definedName>
    <definedName name="AC_ENTRY_ACTIVITY">MAINT_ENTRY!$M$15</definedName>
    <definedName name="AC_ENTRY_COST">MAINT_ENTRY!$E$30</definedName>
    <definedName name="AC_ENTRY_DATE">MAINT_ENTRY!$E$15</definedName>
    <definedName name="AC_ENTRY_FINDING">MAINT_ENTRY!$E$18</definedName>
    <definedName name="AC_ENTRY_NEXT_DUE">MAINT_ENTRY!$M$30</definedName>
    <definedName name="AC_ENTRY_PARTS">MAINT_ENTRY!$E$26</definedName>
    <definedName name="AC_ENTRY_REMARKS">MAINT_ENTRY!$E$36</definedName>
    <definedName name="AC_ENTRY_SELECTED_ID">MAINT_ENTRY!$AA$1</definedName>
    <definedName name="AC_ENTRY_STATUS">MAINT_ENTRY!$E$33</definedName>
    <definedName name="AC_ENTRY_TECHNICIAN">MAINT_ENTRY!$M$26</definedName>
    <definedName name="AC_MAINT_SEARCH">MAINTENANCE!$E$21</definedName>
    <definedName name="AC_SELECTOR_BUILDING">AC_SELECTOR!$E$9</definedName>
    <definedName name="AC_SELECTOR_SEARCH">AC_SELECTOR!$E$12</definedName>
    <definedName name="AC_SELECTOR_SELECTED_ID">AC_SELECTOR!$AA$1</definedName>
    <definedName name="AC_SETTINGS_SELECTED_ITEM">SETTINGS!$Z$2</definedName>
    <definedName name="AC_SETTINGS_SELECTED_TYPE">SETTINGS!$Z$1</definedName>
    <definedName name="AC_UNIT_SEARCH">AC_UNITS!$E$21</definedName>
    <definedName name="_xlnm.Print_Area" localSheetId="7">REPORT_VIEW!$C$2:$P$57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3" l="1"/>
  <c r="H9" i="3"/>
  <c r="C9" i="3"/>
  <c r="M9" i="4"/>
  <c r="H9" i="4"/>
  <c r="C9" i="4"/>
  <c r="M14" i="2"/>
  <c r="H14" i="2"/>
  <c r="C14" i="2"/>
  <c r="M9" i="2"/>
  <c r="H9" i="2"/>
  <c r="C9" i="2"/>
</calcChain>
</file>

<file path=xl/sharedStrings.xml><?xml version="1.0" encoding="utf-8"?>
<sst xmlns="http://schemas.openxmlformats.org/spreadsheetml/2006/main" count="764" uniqueCount="300">
  <si>
    <t>BUILDING_ID</t>
  </si>
  <si>
    <t>BUILDING_NAME</t>
  </si>
  <si>
    <t>LOCATION</t>
  </si>
  <si>
    <t>STATUS</t>
  </si>
  <si>
    <t>DATE_ADDED</t>
  </si>
  <si>
    <t>REMARKS</t>
  </si>
  <si>
    <t>UNIT_ID</t>
  </si>
  <si>
    <t>FLOOR</t>
  </si>
  <si>
    <t>ROOM_AREA</t>
  </si>
  <si>
    <t>BRAND</t>
  </si>
  <si>
    <t>MODEL</t>
  </si>
  <si>
    <t>SERIAL_NO</t>
  </si>
  <si>
    <t>AC_TYPE</t>
  </si>
  <si>
    <t>CAPACITY</t>
  </si>
  <si>
    <t>CAPACITY_UNIT</t>
  </si>
  <si>
    <t>INVERTER_TYPE</t>
  </si>
  <si>
    <t>INSTALLATION_DATE</t>
  </si>
  <si>
    <t>LAST_CLEANING</t>
  </si>
  <si>
    <t>LAST_PM</t>
  </si>
  <si>
    <t>LAST_REPAIR</t>
  </si>
  <si>
    <t>NEXT_MAINTENANCE</t>
  </si>
  <si>
    <t>MAINT_ID</t>
  </si>
  <si>
    <t>BUILDING</t>
  </si>
  <si>
    <t>DATE</t>
  </si>
  <si>
    <t>ACTIVITY_TYPE</t>
  </si>
  <si>
    <t>PROBLEM_FINDING</t>
  </si>
  <si>
    <t>ACTION_TAKEN</t>
  </si>
  <si>
    <t>PARTS_REPLACED</t>
  </si>
  <si>
    <t>TECHNICIAN_CONTRACTOR</t>
  </si>
  <si>
    <t>COST</t>
  </si>
  <si>
    <t>NEXT_DUE_DATE</t>
  </si>
  <si>
    <t>SYSTEM SETTINGS</t>
  </si>
  <si>
    <t>SETTING</t>
  </si>
  <si>
    <t>VALUE</t>
  </si>
  <si>
    <t>Cleaning Interval (Months)</t>
  </si>
  <si>
    <t>Warning Before Due (Days)</t>
  </si>
  <si>
    <t>Currency</t>
  </si>
  <si>
    <t>PHP</t>
  </si>
  <si>
    <t>AC TYPES</t>
  </si>
  <si>
    <t>Split Type</t>
  </si>
  <si>
    <t>Window Type</t>
  </si>
  <si>
    <t>Cassette Type</t>
  </si>
  <si>
    <t>Floor Mounted</t>
  </si>
  <si>
    <t>Ceiling Suspended</t>
  </si>
  <si>
    <t>Package Type</t>
  </si>
  <si>
    <t>Other</t>
  </si>
  <si>
    <t>UNIT STATUS</t>
  </si>
  <si>
    <t>Operational</t>
  </si>
  <si>
    <t>Due for Cleaning</t>
  </si>
  <si>
    <t>Under Maintenance</t>
  </si>
  <si>
    <t>Under Repair</t>
  </si>
  <si>
    <t>For Evaluation</t>
  </si>
  <si>
    <t>For Replacement</t>
  </si>
  <si>
    <t>Inactive</t>
  </si>
  <si>
    <t>Decommissioned</t>
  </si>
  <si>
    <t>MAINTENANCE ACTIVITIES</t>
  </si>
  <si>
    <t>Cleaning</t>
  </si>
  <si>
    <t>Preventive Maintenance</t>
  </si>
  <si>
    <t>Inspection</t>
  </si>
  <si>
    <t>Repair</t>
  </si>
  <si>
    <t>Refrigerant Charging</t>
  </si>
  <si>
    <t>Parts Replacement</t>
  </si>
  <si>
    <t>Electrical Repair</t>
  </si>
  <si>
    <t>Installation</t>
  </si>
  <si>
    <t>Transfer / Relocation</t>
  </si>
  <si>
    <t>Decommissioning</t>
  </si>
  <si>
    <t>INVERTER TYPE</t>
  </si>
  <si>
    <t>Inverter</t>
  </si>
  <si>
    <t>Non-Inverter</t>
  </si>
  <si>
    <t>Unknown</t>
  </si>
  <si>
    <t>AIR-CONDITIONING UNIT
INVENTORY &amp; MAINTENANCE MONITORING SYSTEM</t>
  </si>
  <si>
    <t>Facility Equipment Monitoring Dashboard</t>
  </si>
  <si>
    <t>TOTAL AIRCON UNITS</t>
  </si>
  <si>
    <t>TOTAL BUILDINGS</t>
  </si>
  <si>
    <t>OPERATIONAL</t>
  </si>
  <si>
    <t>DUE FOR CLEANING</t>
  </si>
  <si>
    <t>UNDER REPAIR</t>
  </si>
  <si>
    <t>FOR REPLACEMENT</t>
  </si>
  <si>
    <t>SYSTEM MENU</t>
  </si>
  <si>
    <t>MAINTENANCE MONITORING</t>
  </si>
  <si>
    <t>Upcoming Maintenance</t>
  </si>
  <si>
    <t>Overdue Maintenance</t>
  </si>
  <si>
    <t>Recent Maintenance</t>
  </si>
  <si>
    <t>No records yet</t>
  </si>
  <si>
    <t>BUILDING MANAGEMENT</t>
  </si>
  <si>
    <t>Register and manage buildings included in the air-conditioning inventory.</t>
  </si>
  <si>
    <t>ACTIVE BUILDINGS</t>
  </si>
  <si>
    <t>BUILDING TOOLS</t>
  </si>
  <si>
    <t>BUILDING DIRECTORY</t>
  </si>
  <si>
    <t>SEARCH</t>
  </si>
  <si>
    <t>ID</t>
  </si>
  <si>
    <t>AIRCON UNITS</t>
  </si>
  <si>
    <t>Select a building from the directory to view or modify its information.</t>
  </si>
  <si>
    <t>BLDG-001</t>
  </si>
  <si>
    <t>ADMIN</t>
  </si>
  <si>
    <t>ADMIN BUILDING</t>
  </si>
  <si>
    <t>Active</t>
  </si>
  <si>
    <t>BLDG-002</t>
  </si>
  <si>
    <t>COA</t>
  </si>
  <si>
    <t>COA BUILDING</t>
  </si>
  <si>
    <t>AIRCON UNIT MANAGEMENT</t>
  </si>
  <si>
    <t>Register, locate and monitor all air-conditioning units.</t>
  </si>
  <si>
    <t>AIRCON UNIT TOOLS</t>
  </si>
  <si>
    <t>AIRCON DIRECTORY</t>
  </si>
  <si>
    <t>UNIT ID</t>
  </si>
  <si>
    <t>ROOM / AREA</t>
  </si>
  <si>
    <t>Select an aircon unit from the directory to edit, delete or view its information.</t>
  </si>
  <si>
    <t>AC-0001</t>
  </si>
  <si>
    <t>GROUND FLOOR</t>
  </si>
  <si>
    <t>ADMIN OFFICE</t>
  </si>
  <si>
    <t>CARRIER</t>
  </si>
  <si>
    <t>HP</t>
  </si>
  <si>
    <t>2 HP</t>
  </si>
  <si>
    <t>AC-0002</t>
  </si>
  <si>
    <t>2ND FLOOR</t>
  </si>
  <si>
    <t>COA OFFICE</t>
  </si>
  <si>
    <t>MAINTENANCE MANAGEMENT</t>
  </si>
  <si>
    <t>Record cleaning, preventive maintenance, repairs and service history.</t>
  </si>
  <si>
    <t>TOTAL RECORDS</t>
  </si>
  <si>
    <t>DUE / UPCOMING</t>
  </si>
  <si>
    <t>OVERDUE</t>
  </si>
  <si>
    <t>MAINTENANCE TOOLS</t>
  </si>
  <si>
    <t>MAINTENANCE HISTORY</t>
  </si>
  <si>
    <t>ACTIVITY</t>
  </si>
  <si>
    <t>NEXT DUE</t>
  </si>
  <si>
    <t>Select a maintenance record to review, delete or view the full history of the unit.</t>
  </si>
  <si>
    <t>MNT-0001</t>
  </si>
  <si>
    <t>DIRTY</t>
  </si>
  <si>
    <t>GENERAL</t>
  </si>
  <si>
    <t>Completed</t>
  </si>
  <si>
    <t>SELECT AIRCON UNIT</t>
  </si>
  <si>
    <t>Filter by building or search by room, brand, capacity or unit.</t>
  </si>
  <si>
    <t>FILTER AIRCON UNITS</t>
  </si>
  <si>
    <t>All Buildings</t>
  </si>
  <si>
    <t>AVAILABLE AIRCON UNITS</t>
  </si>
  <si>
    <t>UNIT</t>
  </si>
  <si>
    <t>SELECTED AIRCON</t>
  </si>
  <si>
    <t>No unit selected.</t>
  </si>
  <si>
    <t>MNT-0002</t>
  </si>
  <si>
    <t>leak</t>
  </si>
  <si>
    <t>inspect</t>
  </si>
  <si>
    <t>aircon tech</t>
  </si>
  <si>
    <t>MAINTENANCE ENTRY</t>
  </si>
  <si>
    <t>Record cleaning, preventive maintenance, repair or inspection.</t>
  </si>
  <si>
    <t>SERVICE DETAILS</t>
  </si>
  <si>
    <t>PROBLEM / FINDING</t>
  </si>
  <si>
    <t>ACTION TAKEN</t>
  </si>
  <si>
    <t>PARTS REPLACED</t>
  </si>
  <si>
    <t>TECHNICIAN / CONTRACTOR</t>
  </si>
  <si>
    <t>Pending</t>
  </si>
  <si>
    <t>Follow-up Required</t>
  </si>
  <si>
    <t>Unit inspected and filter found dirty.</t>
  </si>
  <si>
    <t>Cleaned filter and checked operation.</t>
  </si>
  <si>
    <t>TEST</t>
  </si>
  <si>
    <t>Test maintenance entry.</t>
  </si>
  <si>
    <t>MNT-0003</t>
  </si>
  <si>
    <t>BLDG-003</t>
  </si>
  <si>
    <t>planning</t>
  </si>
  <si>
    <t>planning office</t>
  </si>
  <si>
    <t>REPORTS</t>
  </si>
  <si>
    <t>Aircon Inventory and Maintenance Monitoring</t>
  </si>
  <si>
    <t>SYSTEM SUMMARY</t>
  </si>
  <si>
    <t>AVAILABLE REPORTS</t>
  </si>
  <si>
    <t>REPORT FILTERS</t>
  </si>
  <si>
    <t>PERIOD</t>
  </si>
  <si>
    <t>All Records</t>
  </si>
  <si>
    <t>SELECTED REPORT</t>
  </si>
  <si>
    <t>AIR-CONDITIONING UNIT_x000D_
INVENTORY &amp; MAINTENANCE MONITORING SYSTEM</t>
  </si>
  <si>
    <t>Monitoring Report</t>
  </si>
  <si>
    <t>REPORT INFORMATION</t>
  </si>
  <si>
    <t>REPORT DATE</t>
  </si>
  <si>
    <t>RECORDS</t>
  </si>
  <si>
    <t>AIRCON BRANDS</t>
  </si>
  <si>
    <t>MABE</t>
  </si>
  <si>
    <t>AC-0003</t>
  </si>
  <si>
    <t>AC-0004</t>
  </si>
  <si>
    <t>PLANNIGN</t>
  </si>
  <si>
    <t>1.5 HP</t>
  </si>
  <si>
    <t>NA</t>
  </si>
  <si>
    <t>DONE PMS</t>
  </si>
  <si>
    <t>MNT-0004</t>
  </si>
  <si>
    <t>NO COLD</t>
  </si>
  <si>
    <t>RECHARGED</t>
  </si>
  <si>
    <t>MNT-0005</t>
  </si>
  <si>
    <t>dirt</t>
  </si>
  <si>
    <t>pms</t>
  </si>
  <si>
    <t>na</t>
  </si>
  <si>
    <t>aircon test</t>
  </si>
  <si>
    <t>MNT-0006</t>
  </si>
  <si>
    <t>MNT-0007</t>
  </si>
  <si>
    <t>check</t>
  </si>
  <si>
    <t>aircon testing</t>
  </si>
  <si>
    <t>SETTINGS</t>
  </si>
  <si>
    <t>Manage dropdown lists and system reference values.</t>
  </si>
  <si>
    <t>SETTINGS CATEGORIES</t>
  </si>
  <si>
    <t>SELECTED SETTINGS LIST</t>
  </si>
  <si>
    <t>LIST MANAGEMENT</t>
  </si>
  <si>
    <t>GREE</t>
  </si>
  <si>
    <t>DAIKIN</t>
  </si>
  <si>
    <t>TEST TYPE</t>
  </si>
  <si>
    <t>TEST INVERTER TYPE</t>
  </si>
  <si>
    <t>AC-0005</t>
  </si>
  <si>
    <t>2135123eqw123</t>
  </si>
  <si>
    <t>MNT-0008</t>
  </si>
  <si>
    <t>MNT-0009</t>
  </si>
  <si>
    <t>MNT-0010</t>
  </si>
  <si>
    <t>MNT-0011</t>
  </si>
  <si>
    <t>MNT-0012</t>
  </si>
  <si>
    <t>MNT-0013</t>
  </si>
  <si>
    <t>MNT-0014</t>
  </si>
  <si>
    <t>MNT-0015</t>
  </si>
  <si>
    <t>MNT-0016</t>
  </si>
  <si>
    <t>MNT-0017</t>
  </si>
  <si>
    <t>BLDG-004</t>
  </si>
  <si>
    <t>MAINTENANCE BLDG</t>
  </si>
  <si>
    <t>MAINTENANCE BUILDING</t>
  </si>
  <si>
    <t>BLDG-005</t>
  </si>
  <si>
    <t>CONSTRUCTION SECTION</t>
  </si>
  <si>
    <t>CONSTRUCTION BUILDING</t>
  </si>
  <si>
    <t>BLDG-006</t>
  </si>
  <si>
    <t>SUPPLY SECTION</t>
  </si>
  <si>
    <t>SUPPLY BUILDING</t>
  </si>
  <si>
    <t>BLDG-007</t>
  </si>
  <si>
    <t>HR SECTION</t>
  </si>
  <si>
    <t>BLDG-008</t>
  </si>
  <si>
    <t>FINANCE SECTION</t>
  </si>
  <si>
    <t>BLDG-009</t>
  </si>
  <si>
    <t>RECORDS SECTION</t>
  </si>
  <si>
    <t>RECORDS TEMP CONVAN</t>
  </si>
  <si>
    <t>BLDG-010</t>
  </si>
  <si>
    <t>CONSTRUCTION</t>
  </si>
  <si>
    <t>CASHIER SECTION</t>
  </si>
  <si>
    <t>AC-0006</t>
  </si>
  <si>
    <t>MAINTENANCE SECTION</t>
  </si>
  <si>
    <t>AC-0007</t>
  </si>
  <si>
    <t>RIGHT AREA</t>
  </si>
  <si>
    <t>3 HP</t>
  </si>
  <si>
    <t>AC-0008</t>
  </si>
  <si>
    <t>RIGHT</t>
  </si>
  <si>
    <t>AC-0009</t>
  </si>
  <si>
    <t>LEFT</t>
  </si>
  <si>
    <t>AC-0010</t>
  </si>
  <si>
    <t>UPPER RIGHT</t>
  </si>
  <si>
    <t>AC-0011</t>
  </si>
  <si>
    <t>CONVAN LEFT</t>
  </si>
  <si>
    <t>AC-0012</t>
  </si>
  <si>
    <t>MANDA AREA</t>
  </si>
  <si>
    <t>AC-0013</t>
  </si>
  <si>
    <t>TR</t>
  </si>
  <si>
    <t>5 TR</t>
  </si>
  <si>
    <t>AC-0014</t>
  </si>
  <si>
    <t>CMU</t>
  </si>
  <si>
    <t>AC-0015</t>
  </si>
  <si>
    <t>ADE OFFICE</t>
  </si>
  <si>
    <t>AC-0016</t>
  </si>
  <si>
    <t>PIO OFFICE</t>
  </si>
  <si>
    <t>BLDG-011</t>
  </si>
  <si>
    <t>MAIN BUILDING</t>
  </si>
  <si>
    <t>MAIN</t>
  </si>
  <si>
    <t>BLDG-012</t>
  </si>
  <si>
    <t>BAC BUILDING</t>
  </si>
  <si>
    <t>GND BAC BLDG</t>
  </si>
  <si>
    <t>BLDG-013</t>
  </si>
  <si>
    <t>CANTEEN BUILDING</t>
  </si>
  <si>
    <t>CANTEEN</t>
  </si>
  <si>
    <t>BLDG-014</t>
  </si>
  <si>
    <t>MOTORPOOL</t>
  </si>
  <si>
    <t>GND MAINTENANCE BUILDING</t>
  </si>
  <si>
    <t>MNT-0018</t>
  </si>
  <si>
    <t>AC-0017</t>
  </si>
  <si>
    <t>1 HP</t>
  </si>
  <si>
    <t>test prob</t>
  </si>
  <si>
    <t>test action</t>
  </si>
  <si>
    <t>test na</t>
  </si>
  <si>
    <t>test tech</t>
  </si>
  <si>
    <t>test remark</t>
  </si>
  <si>
    <t>BLDG-015</t>
  </si>
  <si>
    <t>BOSS CALVIN PLANNING</t>
  </si>
  <si>
    <t>PLANNING SECTION</t>
  </si>
  <si>
    <t>15 building(s) found | Page 2 of 2</t>
  </si>
  <si>
    <t>AC-0018</t>
  </si>
  <si>
    <t>GROUND</t>
  </si>
  <si>
    <t>BOSS OFFICE</t>
  </si>
  <si>
    <t>18 unit(s) found | Page 2 of 2</t>
  </si>
  <si>
    <t xml:space="preserve">BOSS </t>
  </si>
  <si>
    <t>1 unit(s) found  |  Page 1 of 1</t>
  </si>
  <si>
    <t>AC-0018   |   BOSS CALVIN PLANNING   |   BOSS OFFICE_x000D_
MABE   |   2 HP   |   Operational</t>
  </si>
  <si>
    <t>DIRT SYA</t>
  </si>
  <si>
    <t>FOR CLEANING</t>
  </si>
  <si>
    <t>NONE</t>
  </si>
  <si>
    <t>TEST CONTRACTOR</t>
  </si>
  <si>
    <t>MNT-0019</t>
  </si>
  <si>
    <t>19 record(s) found  |  Page 2 of 2</t>
  </si>
  <si>
    <r>
      <t>UNIT STATUS</t>
    </r>
    <r>
      <rPr>
        <sz val="8"/>
        <color rgb="FF2D3741"/>
        <rFont val="Aptos"/>
      </rPr>
      <t xml:space="preserve">                       Page 1 of 2_x000D_
•  Operational_x000D_
•  Due for Cleaning_x000D_
•  Under Maintenance_x000D_
•  Under Repair_x000D_
•  For Evaluation</t>
    </r>
  </si>
  <si>
    <t>PJ WORKS</t>
  </si>
  <si>
    <t>JONI COLD MAN</t>
  </si>
  <si>
    <t>AIRCON INVENTORY</t>
  </si>
  <si>
    <t>AIRCON INVENTORY_x000D_
Complete list of registered air-conditioning units.</t>
  </si>
  <si>
    <t>Complete inventory of registered air-conditioning units.</t>
  </si>
  <si>
    <t>Generated from the Air-Conditioning Unit Inventory &amp; Maintenance Monitoring System.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</si>
</sst>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 dd\,\ yyyy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</font>
    <font>
      <sz val="10"/>
      <color theme="1"/>
      <name val="Aptos"/>
    </font>
    <font>
      <b/>
      <sz val="10"/>
      <color theme="0"/>
      <name val="Aptos"/>
    </font>
    <font>
      <b/>
      <sz val="10"/>
      <color theme="1"/>
      <name val="Aptos"/>
    </font>
    <font>
      <b/>
      <sz val="16"/>
      <color theme="1"/>
      <name val="Aptos"/>
    </font>
    <font>
      <sz val="10"/>
      <color theme="1"/>
      <name val="Calibri"/>
      <family val="2"/>
      <scheme val="minor"/>
    </font>
    <font>
      <b/>
      <sz val="22"/>
      <color rgb="FFFFFFFF"/>
      <name val="Aptos Display"/>
    </font>
    <font>
      <b/>
      <sz val="21"/>
      <color rgb="FFFFFFFF"/>
      <name val="Aptos Display"/>
    </font>
    <font>
      <i/>
      <sz val="10"/>
      <color rgb="FFDCE6F0"/>
      <name val="Aptos"/>
    </font>
    <font>
      <b/>
      <sz val="10"/>
      <color rgb="FF3C4650"/>
      <name val="Aptos"/>
    </font>
    <font>
      <b/>
      <sz val="23"/>
      <color rgb="FF1E2832"/>
      <name val="Aptos Display"/>
    </font>
    <font>
      <b/>
      <sz val="12"/>
      <color rgb="FF2D3741"/>
      <name val="Calibri"/>
      <family val="2"/>
      <scheme val="minor"/>
    </font>
    <font>
      <b/>
      <sz val="21"/>
      <color rgb="FF1E2832"/>
      <name val="Aptos Display"/>
    </font>
    <font>
      <b/>
      <sz val="11"/>
      <color theme="1"/>
      <name val="Aptos"/>
    </font>
    <font>
      <b/>
      <sz val="9"/>
      <color rgb="FFFFFFFF"/>
      <name val="Aptos"/>
    </font>
    <font>
      <i/>
      <sz val="9"/>
      <color rgb="FF5A646E"/>
      <name val="Aptos"/>
    </font>
    <font>
      <sz val="9"/>
      <color rgb="FF2D3741"/>
      <name val="Aptos"/>
    </font>
    <font>
      <b/>
      <sz val="11"/>
      <color rgb="FF2D3741"/>
      <name val="Aptos"/>
    </font>
    <font>
      <b/>
      <sz val="9"/>
      <color rgb="FF3C4650"/>
      <name val="Aptos"/>
    </font>
    <font>
      <sz val="10"/>
      <color rgb="FF2D3741"/>
      <name val="Aptos"/>
    </font>
    <font>
      <b/>
      <sz val="9"/>
      <color theme="1"/>
      <name val="Aptos"/>
    </font>
    <font>
      <b/>
      <sz val="18"/>
      <color rgb="FFFFFFFF"/>
      <name val="Aptos Display"/>
    </font>
    <font>
      <i/>
      <sz val="9"/>
      <color rgb="FFDCE6F0"/>
      <name val="Aptos"/>
    </font>
    <font>
      <b/>
      <sz val="20"/>
      <color rgb="FF214E79"/>
      <name val="Aptos Display"/>
    </font>
    <font>
      <b/>
      <sz val="10"/>
      <color theme="1"/>
      <name val="Calibri"/>
      <family val="2"/>
      <scheme val="minor"/>
    </font>
    <font>
      <b/>
      <sz val="8"/>
      <color rgb="FF3C4650"/>
      <name val="Aptos"/>
    </font>
    <font>
      <b/>
      <sz val="9"/>
      <color rgb="FF2D3741"/>
      <name val="Aptos"/>
    </font>
    <font>
      <sz val="8"/>
      <color rgb="FF2D3741"/>
      <name val="Aptos"/>
    </font>
    <font>
      <sz val="10"/>
      <color rgb="FFFF0000"/>
      <name val="Aptos"/>
    </font>
    <font>
      <i/>
      <sz val="10"/>
      <color rgb="FF5A646E"/>
      <name val="Aptos"/>
    </font>
    <font>
      <b/>
      <sz val="9"/>
      <color rgb="FF255682"/>
      <name val="Aptos"/>
    </font>
    <font>
      <i/>
      <sz val="8"/>
      <color rgb="FF646E78"/>
      <name val="Aptos"/>
    </font>
    <font>
      <i/>
      <sz val="9"/>
      <color rgb="FF646E78"/>
      <name val="Aptos"/>
    </font>
    <font>
      <i/>
      <sz val="10"/>
      <color rgb="FF737D87"/>
      <name val="Aptos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214E79"/>
        <bgColor indexed="64"/>
      </patternFill>
    </fill>
    <fill>
      <patternFill patternType="solid">
        <fgColor rgb="FFE1E7ED"/>
        <bgColor indexed="64"/>
      </patternFill>
    </fill>
    <fill>
      <patternFill patternType="solid">
        <fgColor rgb="FFEBF8EE"/>
        <bgColor indexed="64"/>
      </patternFill>
    </fill>
    <fill>
      <patternFill patternType="solid">
        <fgColor rgb="FFFFF7DD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4E9FF"/>
        <bgColor indexed="64"/>
      </patternFill>
    </fill>
    <fill>
      <patternFill patternType="solid">
        <fgColor rgb="FFDCE4EC"/>
        <bgColor indexed="64"/>
      </patternFill>
    </fill>
    <fill>
      <patternFill patternType="solid">
        <fgColor rgb="FF345C82"/>
        <bgColor indexed="64"/>
      </patternFill>
    </fill>
    <fill>
      <patternFill patternType="solid">
        <fgColor rgb="FFEBEFF3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37658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9C3CD"/>
      </left>
      <right style="thin">
        <color rgb="FFB9C3CD"/>
      </right>
      <top style="thin">
        <color rgb="FFB9C3CD"/>
      </top>
      <bottom style="thin">
        <color rgb="FFB9C3CD"/>
      </bottom>
      <diagonal/>
    </border>
    <border>
      <left style="thin">
        <color rgb="FFC3CDD7"/>
      </left>
      <right style="thin">
        <color rgb="FFC3CDD7"/>
      </right>
      <top style="thin">
        <color rgb="FFC3CDD7"/>
      </top>
      <bottom style="thin">
        <color rgb="FFC3CDD7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B4BEC8"/>
      </left>
      <right style="thin">
        <color rgb="FFB4BEC8"/>
      </right>
      <top style="thin">
        <color rgb="FFB4BEC8"/>
      </top>
      <bottom style="thin">
        <color rgb="FFB4BEC8"/>
      </bottom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/>
      <diagonal/>
    </border>
    <border>
      <left style="thin">
        <color rgb="FFC8D0D8"/>
      </left>
      <right style="thin">
        <color rgb="FFC8D0D8"/>
      </right>
      <top style="thin">
        <color rgb="FFC8D0D8"/>
      </top>
      <bottom style="thin">
        <color rgb="FFC8D0D8"/>
      </bottom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 style="thin">
        <color rgb="FFBEC8D2"/>
      </left>
      <right/>
      <top style="thin">
        <color rgb="FFBEC8D2"/>
      </top>
      <bottom/>
      <diagonal/>
    </border>
    <border>
      <left/>
      <right/>
      <top style="thin">
        <color rgb="FFBEC8D2"/>
      </top>
      <bottom/>
      <diagonal/>
    </border>
    <border>
      <left/>
      <right style="thin">
        <color rgb="FFBEC8D2"/>
      </right>
      <top style="thin">
        <color rgb="FFBEC8D2"/>
      </top>
      <bottom/>
      <diagonal/>
    </border>
    <border>
      <left style="thin">
        <color rgb="FFBEC8D2"/>
      </left>
      <right/>
      <top/>
      <bottom/>
      <diagonal/>
    </border>
    <border>
      <left/>
      <right style="thin">
        <color rgb="FFBEC8D2"/>
      </right>
      <top/>
      <bottom/>
      <diagonal/>
    </border>
    <border>
      <left style="thin">
        <color rgb="FFBEC8D2"/>
      </left>
      <right/>
      <top/>
      <bottom style="thin">
        <color rgb="FFBEC8D2"/>
      </bottom>
      <diagonal/>
    </border>
    <border>
      <left/>
      <right/>
      <top/>
      <bottom style="thin">
        <color rgb="FFBEC8D2"/>
      </bottom>
      <diagonal/>
    </border>
    <border>
      <left/>
      <right style="thin">
        <color rgb="FFBEC8D2"/>
      </right>
      <top/>
      <bottom style="thin">
        <color rgb="FFBEC8D2"/>
      </bottom>
      <diagonal/>
    </border>
    <border>
      <left style="thin">
        <color rgb="FFBEC8D2"/>
      </left>
      <right style="thin">
        <color rgb="FFBEC8D2"/>
      </right>
      <top style="thin">
        <color rgb="FFBEC8D2"/>
      </top>
      <bottom style="thin">
        <color rgb="FFBEC8D2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CE1E6"/>
      </left>
      <right/>
      <top style="thin">
        <color rgb="FFD7DCE1"/>
      </top>
      <bottom style="thin">
        <color rgb="FFDCE1E6"/>
      </bottom>
      <diagonal/>
    </border>
    <border>
      <left/>
      <right style="thin">
        <color rgb="FFDCE1E6"/>
      </right>
      <top style="thin">
        <color rgb="FFD7DCE1"/>
      </top>
      <bottom style="thin">
        <color rgb="FFDCE1E6"/>
      </bottom>
      <diagonal/>
    </border>
    <border>
      <left/>
      <right/>
      <top style="thin">
        <color rgb="FFD7DCE1"/>
      </top>
      <bottom style="thin">
        <color rgb="FFDCE1E6"/>
      </bottom>
      <diagonal/>
    </border>
    <border>
      <left style="thin">
        <color rgb="FFD7DCE1"/>
      </left>
      <right/>
      <top style="thin">
        <color rgb="FFD7DCE1"/>
      </top>
      <bottom/>
      <diagonal/>
    </border>
    <border>
      <left/>
      <right style="thin">
        <color rgb="FFD7DCE1"/>
      </right>
      <top style="thin">
        <color rgb="FFD7DCE1"/>
      </top>
      <bottom/>
      <diagonal/>
    </border>
    <border>
      <left style="thin">
        <color rgb="FFD7DCE1"/>
      </left>
      <right/>
      <top/>
      <bottom style="thin">
        <color rgb="FFD7DCE1"/>
      </bottom>
      <diagonal/>
    </border>
    <border>
      <left/>
      <right style="thin">
        <color rgb="FFD7DCE1"/>
      </right>
      <top/>
      <bottom style="thin">
        <color rgb="FFD7DCE1"/>
      </bottom>
      <diagonal/>
    </border>
    <border>
      <left/>
      <right/>
      <top style="thin">
        <color rgb="FFD7DCE1"/>
      </top>
      <bottom/>
      <diagonal/>
    </border>
    <border>
      <left/>
      <right/>
      <top/>
      <bottom style="thin">
        <color rgb="FFD7DCE1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3" borderId="3" xfId="0" applyFill="1" applyBorder="1" applyAlignment="1" applyProtection="1">
      <alignment horizontal="center" vertical="center"/>
    </xf>
    <xf numFmtId="0" fontId="4" fillId="3" borderId="4" xfId="0" applyFont="1" applyFill="1" applyBorder="1" applyProtection="1"/>
    <xf numFmtId="0" fontId="4" fillId="3" borderId="5" xfId="0" applyFont="1" applyFill="1" applyBorder="1" applyProtection="1"/>
    <xf numFmtId="164" fontId="4" fillId="3" borderId="5" xfId="0" applyNumberFormat="1" applyFont="1" applyFill="1" applyBorder="1" applyProtection="1"/>
    <xf numFmtId="0" fontId="4" fillId="3" borderId="6" xfId="0" applyFont="1" applyFill="1" applyBorder="1" applyProtection="1"/>
    <xf numFmtId="0" fontId="3" fillId="3" borderId="7" xfId="0" applyFont="1" applyFill="1" applyBorder="1" applyProtection="1"/>
    <xf numFmtId="0" fontId="3" fillId="3" borderId="8" xfId="0" applyFont="1" applyFill="1" applyBorder="1" applyProtection="1"/>
    <xf numFmtId="164" fontId="3" fillId="3" borderId="8" xfId="0" applyNumberFormat="1" applyFont="1" applyFill="1" applyBorder="1" applyProtection="1"/>
    <xf numFmtId="0" fontId="3" fillId="3" borderId="9" xfId="0" applyFont="1" applyFill="1" applyBorder="1" applyProtection="1"/>
    <xf numFmtId="164" fontId="3" fillId="3" borderId="0" xfId="0" applyNumberFormat="1" applyFont="1" applyFill="1" applyProtection="1"/>
    <xf numFmtId="0" fontId="34" fillId="3" borderId="0" xfId="0" applyFont="1" applyFill="1" applyAlignment="1" applyProtection="1">
      <alignment horizontal="left" vertical="center"/>
    </xf>
    <xf numFmtId="0" fontId="30" fillId="3" borderId="0" xfId="0" applyFont="1" applyFill="1" applyProtection="1"/>
    <xf numFmtId="164" fontId="30" fillId="3" borderId="0" xfId="0" applyNumberFormat="1" applyFont="1" applyFill="1" applyProtection="1"/>
    <xf numFmtId="0" fontId="35" fillId="3" borderId="0" xfId="0" applyFont="1" applyFill="1" applyAlignment="1" applyProtection="1">
      <alignment horizontal="left" vertical="center"/>
    </xf>
    <xf numFmtId="14" fontId="3" fillId="3" borderId="0" xfId="0" applyNumberFormat="1" applyFont="1" applyFill="1" applyProtection="1"/>
    <xf numFmtId="4" fontId="4" fillId="3" borderId="5" xfId="0" applyNumberFormat="1" applyFont="1" applyFill="1" applyBorder="1" applyProtection="1"/>
    <xf numFmtId="4" fontId="3" fillId="3" borderId="0" xfId="0" applyNumberFormat="1" applyFont="1" applyFill="1" applyProtection="1"/>
    <xf numFmtId="0" fontId="33" fillId="3" borderId="0" xfId="0" applyFont="1" applyFill="1" applyAlignment="1" applyProtection="1">
      <alignment horizontal="left" vertical="center"/>
    </xf>
    <xf numFmtId="164" fontId="33" fillId="3" borderId="0" xfId="0" applyNumberFormat="1" applyFont="1" applyFill="1" applyAlignment="1" applyProtection="1">
      <alignment horizontal="left" vertical="center"/>
    </xf>
    <xf numFmtId="4" fontId="33" fillId="3" borderId="0" xfId="0" applyNumberFormat="1" applyFont="1" applyFill="1" applyAlignment="1" applyProtection="1">
      <alignment horizontal="left" vertical="center"/>
    </xf>
    <xf numFmtId="4" fontId="30" fillId="3" borderId="0" xfId="0" applyNumberFormat="1" applyFont="1" applyFill="1" applyProtection="1"/>
    <xf numFmtId="0" fontId="18" fillId="2" borderId="32" xfId="0" applyFont="1" applyFill="1" applyBorder="1" applyAlignment="1" applyProtection="1">
      <alignment horizontal="center" vertical="center"/>
    </xf>
    <xf numFmtId="0" fontId="18" fillId="2" borderId="33" xfId="0" applyFont="1" applyFill="1" applyBorder="1" applyAlignment="1" applyProtection="1">
      <alignment horizontal="center" vertical="center"/>
    </xf>
    <xf numFmtId="0" fontId="18" fillId="2" borderId="35" xfId="0" applyFont="1" applyFill="1" applyBorder="1" applyAlignment="1" applyProtection="1">
      <alignment horizontal="center" vertical="center"/>
    </xf>
    <xf numFmtId="0" fontId="18" fillId="2" borderId="0" xfId="0" applyFont="1" applyFill="1" applyAlignment="1" applyProtection="1">
      <alignment vertical="center"/>
    </xf>
    <xf numFmtId="0" fontId="18" fillId="2" borderId="0" xfId="0" applyFont="1" applyFill="1" applyAlignment="1" applyProtection="1">
      <alignment horizontal="center" vertical="center"/>
    </xf>
    <xf numFmtId="0" fontId="3" fillId="0" borderId="0" xfId="0" applyFont="1" applyProtection="1"/>
    <xf numFmtId="0" fontId="5" fillId="0" borderId="0" xfId="0" applyFont="1" applyProtection="1"/>
    <xf numFmtId="0" fontId="2" fillId="3" borderId="0" xfId="0" applyFont="1" applyFill="1" applyProtection="1"/>
    <xf numFmtId="0" fontId="3" fillId="0" borderId="1" xfId="0" applyFont="1" applyBorder="1" applyProtection="1"/>
    <xf numFmtId="0" fontId="0" fillId="0" borderId="0" xfId="0" applyProtection="1"/>
    <xf numFmtId="0" fontId="0" fillId="3" borderId="0" xfId="0" applyFill="1" applyProtection="1">
      <protection locked="0"/>
    </xf>
    <xf numFmtId="0" fontId="3" fillId="3" borderId="0" xfId="0" applyFont="1" applyFill="1" applyProtection="1"/>
    <xf numFmtId="0" fontId="0" fillId="3" borderId="0" xfId="0" applyFill="1" applyProtection="1"/>
    <xf numFmtId="0" fontId="9" fillId="4" borderId="0" xfId="0" applyFont="1" applyFill="1" applyAlignment="1" applyProtection="1">
      <alignment horizontal="left" vertical="center" wrapText="1"/>
    </xf>
    <xf numFmtId="0" fontId="10" fillId="4" borderId="0" xfId="0" applyFont="1" applyFill="1" applyProtection="1"/>
    <xf numFmtId="0" fontId="11" fillId="5" borderId="2" xfId="0" applyFont="1" applyFill="1" applyBorder="1" applyAlignment="1" applyProtection="1">
      <alignment horizontal="center" vertical="center"/>
    </xf>
    <xf numFmtId="1" fontId="12" fillId="2" borderId="2" xfId="0" applyNumberFormat="1" applyFont="1" applyFill="1" applyBorder="1" applyAlignment="1" applyProtection="1">
      <alignment horizontal="center" vertical="center"/>
    </xf>
    <xf numFmtId="0" fontId="12" fillId="2" borderId="2" xfId="0" applyFont="1" applyFill="1" applyBorder="1" applyAlignment="1" applyProtection="1">
      <alignment horizontal="center" vertical="center"/>
    </xf>
    <xf numFmtId="1" fontId="12" fillId="6" borderId="2" xfId="0" applyNumberFormat="1" applyFont="1" applyFill="1" applyBorder="1" applyAlignment="1" applyProtection="1">
      <alignment horizontal="center" vertical="center"/>
    </xf>
    <xf numFmtId="0" fontId="12" fillId="6" borderId="2" xfId="0" applyFont="1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1" fontId="12" fillId="7" borderId="2" xfId="0" applyNumberFormat="1" applyFont="1" applyFill="1" applyBorder="1" applyAlignment="1" applyProtection="1">
      <alignment horizontal="center" vertical="center"/>
    </xf>
    <xf numFmtId="0" fontId="12" fillId="7" borderId="2" xfId="0" applyFont="1" applyFill="1" applyBorder="1" applyAlignment="1" applyProtection="1">
      <alignment horizontal="center" vertical="center"/>
    </xf>
    <xf numFmtId="1" fontId="12" fillId="8" borderId="2" xfId="0" applyNumberFormat="1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 applyProtection="1">
      <alignment horizontal="center" vertical="center"/>
    </xf>
    <xf numFmtId="1" fontId="12" fillId="9" borderId="2" xfId="0" applyNumberFormat="1" applyFont="1" applyFill="1" applyBorder="1" applyAlignment="1" applyProtection="1">
      <alignment horizontal="center" vertical="center"/>
    </xf>
    <xf numFmtId="0" fontId="12" fillId="9" borderId="2" xfId="0" applyFont="1" applyFill="1" applyBorder="1" applyAlignment="1" applyProtection="1">
      <alignment horizontal="center" vertical="center"/>
    </xf>
    <xf numFmtId="0" fontId="13" fillId="10" borderId="0" xfId="0" applyFont="1" applyFill="1" applyAlignment="1" applyProtection="1">
      <alignment horizontal="left" vertical="center"/>
    </xf>
    <xf numFmtId="0" fontId="13" fillId="10" borderId="0" xfId="0" applyFont="1" applyFill="1" applyAlignment="1" applyProtection="1">
      <alignment vertical="center"/>
    </xf>
    <xf numFmtId="0" fontId="1" fillId="7" borderId="3" xfId="0" applyFont="1" applyFill="1" applyBorder="1" applyAlignment="1" applyProtection="1">
      <alignment horizontal="center" vertical="center"/>
    </xf>
    <xf numFmtId="0" fontId="1" fillId="8" borderId="3" xfId="0" applyFont="1" applyFill="1" applyBorder="1" applyAlignment="1" applyProtection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left" vertical="center"/>
    </xf>
    <xf numFmtId="0" fontId="8" fillId="4" borderId="0" xfId="0" applyFont="1" applyFill="1" applyBorder="1" applyAlignment="1" applyProtection="1">
      <alignment horizontal="left" vertical="center"/>
    </xf>
    <xf numFmtId="0" fontId="10" fillId="4" borderId="0" xfId="0" applyFont="1" applyFill="1" applyAlignment="1" applyProtection="1">
      <alignment horizontal="left" vertical="center"/>
    </xf>
    <xf numFmtId="1" fontId="14" fillId="2" borderId="2" xfId="0" applyNumberFormat="1" applyFont="1" applyFill="1" applyBorder="1" applyAlignment="1" applyProtection="1">
      <alignment horizontal="center" vertical="center"/>
    </xf>
    <xf numFmtId="1" fontId="14" fillId="6" borderId="2" xfId="0" applyNumberFormat="1" applyFont="1" applyFill="1" applyBorder="1" applyAlignment="1" applyProtection="1">
      <alignment horizontal="center" vertical="center"/>
    </xf>
    <xf numFmtId="164" fontId="11" fillId="5" borderId="2" xfId="0" applyNumberFormat="1" applyFont="1" applyFill="1" applyBorder="1" applyAlignment="1" applyProtection="1">
      <alignment horizontal="center" vertical="center"/>
    </xf>
    <xf numFmtId="1" fontId="14" fillId="8" borderId="2" xfId="0" applyNumberFormat="1" applyFont="1" applyFill="1" applyBorder="1" applyAlignment="1" applyProtection="1">
      <alignment horizontal="center" vertical="center"/>
    </xf>
    <xf numFmtId="0" fontId="18" fillId="2" borderId="14" xfId="0" applyFont="1" applyFill="1" applyBorder="1" applyAlignment="1" applyProtection="1">
      <alignment horizontal="center" vertical="center"/>
    </xf>
    <xf numFmtId="0" fontId="18" fillId="2" borderId="15" xfId="0" applyFont="1" applyFill="1" applyBorder="1" applyAlignment="1" applyProtection="1">
      <alignment horizontal="center" vertical="center"/>
    </xf>
    <xf numFmtId="0" fontId="18" fillId="2" borderId="14" xfId="0" applyFont="1" applyFill="1" applyBorder="1" applyAlignment="1" applyProtection="1">
      <alignment horizontal="left" vertical="center"/>
    </xf>
    <xf numFmtId="0" fontId="18" fillId="2" borderId="15" xfId="0" applyFont="1" applyFill="1" applyBorder="1" applyAlignment="1" applyProtection="1">
      <alignment horizontal="left" vertical="center"/>
    </xf>
    <xf numFmtId="0" fontId="18" fillId="2" borderId="16" xfId="0" applyFont="1" applyFill="1" applyBorder="1" applyAlignment="1" applyProtection="1">
      <alignment horizontal="left" vertical="center"/>
    </xf>
    <xf numFmtId="0" fontId="18" fillId="6" borderId="14" xfId="0" applyFont="1" applyFill="1" applyBorder="1" applyAlignment="1" applyProtection="1">
      <alignment horizontal="center" vertical="center"/>
    </xf>
    <xf numFmtId="0" fontId="18" fillId="6" borderId="16" xfId="0" applyFont="1" applyFill="1" applyBorder="1" applyAlignment="1" applyProtection="1">
      <alignment horizontal="center" vertical="center"/>
    </xf>
    <xf numFmtId="0" fontId="18" fillId="6" borderId="15" xfId="0" applyFont="1" applyFill="1" applyBorder="1" applyAlignment="1" applyProtection="1">
      <alignment horizontal="center" vertical="center"/>
    </xf>
    <xf numFmtId="0" fontId="15" fillId="10" borderId="0" xfId="0" applyFont="1" applyFill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15" fillId="10" borderId="0" xfId="0" applyFont="1" applyFill="1" applyProtection="1"/>
    <xf numFmtId="0" fontId="3" fillId="3" borderId="0" xfId="0" applyFont="1" applyFill="1" applyProtection="1"/>
    <xf numFmtId="0" fontId="5" fillId="3" borderId="0" xfId="0" applyFont="1" applyFill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2" fillId="2" borderId="10" xfId="0" applyFont="1" applyFill="1" applyBorder="1" applyAlignment="1" applyProtection="1">
      <alignment horizontal="left" vertical="center"/>
      <protection locked="0"/>
    </xf>
    <xf numFmtId="0" fontId="16" fillId="11" borderId="11" xfId="0" applyFont="1" applyFill="1" applyBorder="1" applyAlignment="1" applyProtection="1">
      <alignment horizontal="center" vertical="center"/>
    </xf>
    <xf numFmtId="164" fontId="17" fillId="12" borderId="13" xfId="0" applyNumberFormat="1" applyFont="1" applyFill="1" applyBorder="1" applyAlignment="1" applyProtection="1">
      <alignment horizontal="left" vertical="center" wrapText="1"/>
    </xf>
    <xf numFmtId="0" fontId="8" fillId="4" borderId="0" xfId="0" applyFont="1" applyFill="1" applyAlignment="1" applyProtection="1">
      <alignment horizontal="left" vertical="center"/>
    </xf>
    <xf numFmtId="0" fontId="14" fillId="2" borderId="2" xfId="0" applyFont="1" applyFill="1" applyBorder="1" applyAlignment="1" applyProtection="1">
      <alignment horizontal="center" vertical="center"/>
    </xf>
    <xf numFmtId="0" fontId="14" fillId="6" borderId="2" xfId="0" applyFont="1" applyFill="1" applyBorder="1" applyAlignment="1" applyProtection="1">
      <alignment horizontal="center" vertical="center"/>
    </xf>
    <xf numFmtId="0" fontId="5" fillId="3" borderId="0" xfId="0" applyFont="1" applyFill="1" applyAlignment="1" applyProtection="1">
      <alignment horizontal="left" vertical="center"/>
    </xf>
    <xf numFmtId="0" fontId="18" fillId="2" borderId="11" xfId="0" applyFont="1" applyFill="1" applyBorder="1" applyAlignment="1" applyProtection="1">
      <alignment horizontal="left" vertical="center"/>
    </xf>
    <xf numFmtId="0" fontId="18" fillId="2" borderId="16" xfId="0" applyFont="1" applyFill="1" applyBorder="1" applyAlignment="1" applyProtection="1">
      <alignment horizontal="center" vertical="center"/>
    </xf>
    <xf numFmtId="0" fontId="18" fillId="2" borderId="11" xfId="0" applyFont="1" applyFill="1" applyBorder="1" applyAlignment="1" applyProtection="1">
      <alignment horizontal="center" vertical="center"/>
    </xf>
    <xf numFmtId="0" fontId="18" fillId="6" borderId="11" xfId="0" applyFont="1" applyFill="1" applyBorder="1" applyAlignment="1" applyProtection="1">
      <alignment horizontal="center" vertical="center"/>
    </xf>
    <xf numFmtId="0" fontId="17" fillId="12" borderId="13" xfId="0" applyFont="1" applyFill="1" applyBorder="1" applyAlignment="1" applyProtection="1">
      <alignment horizontal="left" vertical="center" wrapText="1"/>
    </xf>
    <xf numFmtId="1" fontId="14" fillId="7" borderId="2" xfId="0" applyNumberFormat="1" applyFont="1" applyFill="1" applyBorder="1" applyAlignment="1" applyProtection="1">
      <alignment horizontal="center" vertical="center"/>
    </xf>
    <xf numFmtId="164" fontId="2" fillId="2" borderId="10" xfId="0" applyNumberFormat="1" applyFont="1" applyFill="1" applyBorder="1" applyAlignment="1" applyProtection="1">
      <alignment horizontal="left" vertical="center"/>
      <protection locked="0"/>
    </xf>
    <xf numFmtId="164" fontId="16" fillId="11" borderId="11" xfId="0" applyNumberFormat="1" applyFont="1" applyFill="1" applyBorder="1" applyAlignment="1" applyProtection="1">
      <alignment horizontal="center" vertical="center"/>
    </xf>
    <xf numFmtId="164" fontId="18" fillId="2" borderId="11" xfId="0" applyNumberFormat="1" applyFont="1" applyFill="1" applyBorder="1" applyAlignment="1" applyProtection="1">
      <alignment horizontal="center" vertical="center"/>
    </xf>
    <xf numFmtId="164" fontId="18" fillId="15" borderId="11" xfId="0" applyNumberFormat="1" applyFont="1" applyFill="1" applyBorder="1" applyAlignment="1" applyProtection="1">
      <alignment horizontal="center" vertical="center"/>
    </xf>
    <xf numFmtId="0" fontId="18" fillId="15" borderId="11" xfId="0" applyFont="1" applyFill="1" applyBorder="1" applyAlignment="1" applyProtection="1">
      <alignment horizontal="center" vertical="center"/>
    </xf>
    <xf numFmtId="164" fontId="18" fillId="2" borderId="14" xfId="0" applyNumberFormat="1" applyFont="1" applyFill="1" applyBorder="1" applyAlignment="1" applyProtection="1">
      <alignment horizontal="center" vertical="center"/>
    </xf>
    <xf numFmtId="164" fontId="18" fillId="2" borderId="15" xfId="0" applyNumberFormat="1" applyFont="1" applyFill="1" applyBorder="1" applyAlignment="1" applyProtection="1">
      <alignment horizontal="center" vertical="center"/>
    </xf>
    <xf numFmtId="164" fontId="18" fillId="15" borderId="14" xfId="0" applyNumberFormat="1" applyFont="1" applyFill="1" applyBorder="1" applyAlignment="1" applyProtection="1">
      <alignment horizontal="center" vertical="center"/>
    </xf>
    <xf numFmtId="164" fontId="18" fillId="15" borderId="15" xfId="0" applyNumberFormat="1" applyFont="1" applyFill="1" applyBorder="1" applyAlignment="1" applyProtection="1">
      <alignment horizontal="center" vertical="center"/>
    </xf>
    <xf numFmtId="0" fontId="18" fillId="15" borderId="14" xfId="0" applyFont="1" applyFill="1" applyBorder="1" applyAlignment="1" applyProtection="1">
      <alignment horizontal="center" vertical="center"/>
    </xf>
    <xf numFmtId="0" fontId="18" fillId="15" borderId="16" xfId="0" applyFont="1" applyFill="1" applyBorder="1" applyAlignment="1" applyProtection="1">
      <alignment horizontal="center" vertical="center"/>
    </xf>
    <xf numFmtId="0" fontId="18" fillId="15" borderId="15" xfId="0" applyFont="1" applyFill="1" applyBorder="1" applyAlignment="1" applyProtection="1">
      <alignment horizontal="center" vertical="center"/>
    </xf>
    <xf numFmtId="0" fontId="10" fillId="4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1" fillId="10" borderId="0" xfId="0" applyFont="1" applyFill="1" applyProtection="1"/>
    <xf numFmtId="0" fontId="0" fillId="3" borderId="0" xfId="0" applyFill="1" applyProtection="1"/>
    <xf numFmtId="0" fontId="1" fillId="3" borderId="0" xfId="0" applyFont="1" applyFill="1" applyAlignment="1" applyProtection="1">
      <alignment vertical="center"/>
    </xf>
    <xf numFmtId="0" fontId="0" fillId="2" borderId="10" xfId="0" applyFont="1" applyFill="1" applyBorder="1" applyAlignment="1" applyProtection="1">
      <alignment horizontal="left" vertical="center"/>
      <protection locked="0"/>
    </xf>
    <xf numFmtId="0" fontId="7" fillId="2" borderId="17" xfId="0" applyFont="1" applyFill="1" applyBorder="1" applyAlignment="1" applyProtection="1">
      <alignment vertical="center" wrapText="1"/>
    </xf>
    <xf numFmtId="0" fontId="7" fillId="2" borderId="18" xfId="0" applyFont="1" applyFill="1" applyBorder="1" applyAlignment="1" applyProtection="1">
      <alignment vertical="center" wrapText="1"/>
    </xf>
    <xf numFmtId="0" fontId="7" fillId="2" borderId="19" xfId="0" applyFont="1" applyFill="1" applyBorder="1" applyAlignment="1" applyProtection="1">
      <alignment vertical="center" wrapText="1"/>
    </xf>
    <xf numFmtId="0" fontId="7" fillId="2" borderId="20" xfId="0" applyFont="1" applyFill="1" applyBorder="1" applyAlignment="1" applyProtection="1">
      <alignment vertical="center" wrapText="1"/>
    </xf>
    <xf numFmtId="0" fontId="7" fillId="2" borderId="0" xfId="0" applyFont="1" applyFill="1" applyBorder="1" applyAlignment="1" applyProtection="1">
      <alignment vertical="center" wrapText="1"/>
    </xf>
    <xf numFmtId="0" fontId="7" fillId="2" borderId="21" xfId="0" applyFont="1" applyFill="1" applyBorder="1" applyAlignment="1" applyProtection="1">
      <alignment vertical="center" wrapText="1"/>
    </xf>
    <xf numFmtId="0" fontId="7" fillId="2" borderId="22" xfId="0" applyFont="1" applyFill="1" applyBorder="1" applyAlignment="1" applyProtection="1">
      <alignment vertical="center" wrapText="1"/>
    </xf>
    <xf numFmtId="0" fontId="7" fillId="2" borderId="23" xfId="0" applyFont="1" applyFill="1" applyBorder="1" applyAlignment="1" applyProtection="1">
      <alignment vertical="center" wrapText="1"/>
    </xf>
    <xf numFmtId="0" fontId="7" fillId="2" borderId="24" xfId="0" applyFont="1" applyFill="1" applyBorder="1" applyAlignment="1" applyProtection="1">
      <alignment vertical="center" wrapText="1"/>
    </xf>
    <xf numFmtId="0" fontId="17" fillId="3" borderId="12" xfId="0" applyFont="1" applyFill="1" applyBorder="1" applyAlignment="1" applyProtection="1">
      <alignment vertical="center"/>
    </xf>
    <xf numFmtId="0" fontId="20" fillId="12" borderId="13" xfId="0" applyFont="1" applyFill="1" applyBorder="1" applyAlignment="1" applyProtection="1">
      <alignment vertical="center" wrapText="1"/>
    </xf>
    <xf numFmtId="164" fontId="21" fillId="2" borderId="10" xfId="0" applyNumberFormat="1" applyFont="1" applyFill="1" applyBorder="1" applyAlignment="1" applyProtection="1">
      <alignment vertical="center" wrapText="1"/>
      <protection locked="0"/>
    </xf>
    <xf numFmtId="0" fontId="21" fillId="2" borderId="10" xfId="0" applyFont="1" applyFill="1" applyBorder="1" applyAlignment="1" applyProtection="1">
      <alignment vertical="center" wrapText="1"/>
      <protection locked="0"/>
    </xf>
    <xf numFmtId="0" fontId="8" fillId="4" borderId="0" xfId="0" applyFont="1" applyFill="1" applyAlignment="1" applyProtection="1">
      <alignment vertical="center"/>
    </xf>
    <xf numFmtId="0" fontId="19" fillId="2" borderId="17" xfId="0" applyFont="1" applyFill="1" applyBorder="1" applyAlignment="1" applyProtection="1">
      <alignment vertical="center" wrapText="1"/>
    </xf>
    <xf numFmtId="0" fontId="19" fillId="2" borderId="18" xfId="0" applyFont="1" applyFill="1" applyBorder="1" applyAlignment="1" applyProtection="1">
      <alignment vertical="center" wrapText="1"/>
    </xf>
    <xf numFmtId="0" fontId="19" fillId="2" borderId="19" xfId="0" applyFont="1" applyFill="1" applyBorder="1" applyAlignment="1" applyProtection="1">
      <alignment vertical="center" wrapText="1"/>
    </xf>
    <xf numFmtId="0" fontId="19" fillId="2" borderId="20" xfId="0" applyFont="1" applyFill="1" applyBorder="1" applyAlignment="1" applyProtection="1">
      <alignment vertical="center" wrapText="1"/>
    </xf>
    <xf numFmtId="0" fontId="19" fillId="2" borderId="0" xfId="0" applyFont="1" applyFill="1" applyBorder="1" applyAlignment="1" applyProtection="1">
      <alignment vertical="center" wrapText="1"/>
    </xf>
    <xf numFmtId="0" fontId="19" fillId="2" borderId="21" xfId="0" applyFont="1" applyFill="1" applyBorder="1" applyAlignment="1" applyProtection="1">
      <alignment vertical="center" wrapText="1"/>
    </xf>
    <xf numFmtId="0" fontId="19" fillId="2" borderId="22" xfId="0" applyFont="1" applyFill="1" applyBorder="1" applyAlignment="1" applyProtection="1">
      <alignment vertical="center" wrapText="1"/>
    </xf>
    <xf numFmtId="0" fontId="19" fillId="2" borderId="23" xfId="0" applyFont="1" applyFill="1" applyBorder="1" applyAlignment="1" applyProtection="1">
      <alignment vertical="center" wrapText="1"/>
    </xf>
    <xf numFmtId="0" fontId="19" fillId="2" borderId="24" xfId="0" applyFont="1" applyFill="1" applyBorder="1" applyAlignment="1" applyProtection="1">
      <alignment vertical="center" wrapText="1"/>
    </xf>
    <xf numFmtId="4" fontId="21" fillId="2" borderId="10" xfId="0" applyNumberFormat="1" applyFont="1" applyFill="1" applyBorder="1" applyAlignment="1" applyProtection="1">
      <alignment vertical="center" wrapText="1"/>
      <protection locked="0"/>
    </xf>
    <xf numFmtId="0" fontId="22" fillId="12" borderId="13" xfId="0" applyFont="1" applyFill="1" applyBorder="1" applyAlignment="1" applyProtection="1">
      <alignment vertical="center"/>
    </xf>
    <xf numFmtId="0" fontId="3" fillId="2" borderId="10" xfId="0" applyFont="1" applyFill="1" applyBorder="1" applyAlignment="1" applyProtection="1">
      <alignment vertical="center"/>
      <protection locked="0"/>
    </xf>
    <xf numFmtId="0" fontId="18" fillId="2" borderId="14" xfId="0" applyFont="1" applyFill="1" applyBorder="1" applyAlignment="1" applyProtection="1">
      <alignment horizontal="right" vertical="center"/>
    </xf>
    <xf numFmtId="0" fontId="18" fillId="2" borderId="15" xfId="0" applyFont="1" applyFill="1" applyBorder="1" applyAlignment="1" applyProtection="1">
      <alignment horizontal="right" vertical="center"/>
    </xf>
    <xf numFmtId="0" fontId="18" fillId="2" borderId="16" xfId="0" applyFont="1" applyFill="1" applyBorder="1" applyAlignment="1" applyProtection="1">
      <alignment horizontal="right" vertical="center"/>
    </xf>
    <xf numFmtId="164" fontId="18" fillId="2" borderId="16" xfId="0" applyNumberFormat="1" applyFont="1" applyFill="1" applyBorder="1" applyAlignment="1" applyProtection="1">
      <alignment horizontal="center" vertical="center"/>
    </xf>
    <xf numFmtId="164" fontId="18" fillId="2" borderId="16" xfId="0" applyNumberFormat="1" applyFont="1" applyFill="1" applyBorder="1" applyAlignment="1" applyProtection="1">
      <alignment horizontal="left" vertical="center"/>
    </xf>
    <xf numFmtId="4" fontId="18" fillId="2" borderId="16" xfId="0" applyNumberFormat="1" applyFont="1" applyFill="1" applyBorder="1" applyAlignment="1" applyProtection="1">
      <alignment horizontal="right" vertical="center"/>
    </xf>
    <xf numFmtId="4" fontId="18" fillId="2" borderId="14" xfId="0" applyNumberFormat="1" applyFont="1" applyFill="1" applyBorder="1" applyAlignment="1" applyProtection="1">
      <alignment horizontal="right" vertical="center"/>
    </xf>
    <xf numFmtId="4" fontId="18" fillId="2" borderId="15" xfId="0" applyNumberFormat="1" applyFont="1" applyFill="1" applyBorder="1" applyAlignment="1" applyProtection="1">
      <alignment horizontal="right" vertical="center"/>
    </xf>
    <xf numFmtId="1" fontId="18" fillId="2" borderId="16" xfId="0" applyNumberFormat="1" applyFont="1" applyFill="1" applyBorder="1" applyAlignment="1" applyProtection="1">
      <alignment horizontal="center" vertical="center"/>
    </xf>
    <xf numFmtId="4" fontId="18" fillId="2" borderId="16" xfId="0" applyNumberFormat="1" applyFont="1" applyFill="1" applyBorder="1" applyAlignment="1" applyProtection="1">
      <alignment horizontal="left" vertical="center"/>
    </xf>
    <xf numFmtId="4" fontId="18" fillId="6" borderId="16" xfId="0" applyNumberFormat="1" applyFont="1" applyFill="1" applyBorder="1" applyAlignment="1" applyProtection="1">
      <alignment horizontal="center" vertical="center"/>
    </xf>
    <xf numFmtId="4" fontId="18" fillId="6" borderId="15" xfId="0" applyNumberFormat="1" applyFont="1" applyFill="1" applyBorder="1" applyAlignment="1" applyProtection="1">
      <alignment horizontal="center" vertical="center"/>
    </xf>
    <xf numFmtId="1" fontId="18" fillId="2" borderId="14" xfId="0" applyNumberFormat="1" applyFont="1" applyFill="1" applyBorder="1" applyAlignment="1" applyProtection="1">
      <alignment horizontal="center" vertical="center"/>
    </xf>
    <xf numFmtId="1" fontId="18" fillId="2" borderId="15" xfId="0" applyNumberFormat="1" applyFont="1" applyFill="1" applyBorder="1" applyAlignment="1" applyProtection="1">
      <alignment horizontal="center" vertical="center"/>
    </xf>
    <xf numFmtId="4" fontId="18" fillId="2" borderId="14" xfId="0" applyNumberFormat="1" applyFont="1" applyFill="1" applyBorder="1" applyAlignment="1" applyProtection="1">
      <alignment horizontal="left" vertical="center"/>
    </xf>
    <xf numFmtId="4" fontId="18" fillId="2" borderId="15" xfId="0" applyNumberFormat="1" applyFont="1" applyFill="1" applyBorder="1" applyAlignment="1" applyProtection="1">
      <alignment horizontal="left" vertical="center"/>
    </xf>
    <xf numFmtId="4" fontId="18" fillId="6" borderId="14" xfId="0" applyNumberFormat="1" applyFont="1" applyFill="1" applyBorder="1" applyAlignment="1" applyProtection="1">
      <alignment horizontal="center" vertical="center"/>
    </xf>
    <xf numFmtId="164" fontId="18" fillId="6" borderId="16" xfId="0" applyNumberFormat="1" applyFont="1" applyFill="1" applyBorder="1" applyAlignment="1" applyProtection="1">
      <alignment horizontal="center" vertical="center"/>
    </xf>
    <xf numFmtId="164" fontId="18" fillId="6" borderId="15" xfId="0" applyNumberFormat="1" applyFont="1" applyFill="1" applyBorder="1" applyAlignment="1" applyProtection="1">
      <alignment horizontal="center" vertical="center"/>
    </xf>
    <xf numFmtId="164" fontId="18" fillId="2" borderId="27" xfId="0" applyNumberFormat="1" applyFont="1" applyFill="1" applyBorder="1" applyAlignment="1" applyProtection="1">
      <alignment horizontal="center" vertical="center"/>
    </xf>
    <xf numFmtId="164" fontId="18" fillId="2" borderId="28" xfId="0" applyNumberFormat="1" applyFont="1" applyFill="1" applyBorder="1" applyAlignment="1" applyProtection="1">
      <alignment horizontal="center" vertical="center"/>
    </xf>
    <xf numFmtId="1" fontId="18" fillId="2" borderId="27" xfId="0" applyNumberFormat="1" applyFont="1" applyFill="1" applyBorder="1" applyAlignment="1" applyProtection="1">
      <alignment horizontal="center" vertical="center"/>
    </xf>
    <xf numFmtId="1" fontId="18" fillId="2" borderId="28" xfId="0" applyNumberFormat="1" applyFont="1" applyFill="1" applyBorder="1" applyAlignment="1" applyProtection="1">
      <alignment horizontal="center" vertical="center"/>
    </xf>
    <xf numFmtId="4" fontId="18" fillId="2" borderId="27" xfId="0" applyNumberFormat="1" applyFont="1" applyFill="1" applyBorder="1" applyAlignment="1" applyProtection="1">
      <alignment horizontal="left" vertical="center"/>
    </xf>
    <xf numFmtId="4" fontId="18" fillId="2" borderId="29" xfId="0" applyNumberFormat="1" applyFont="1" applyFill="1" applyBorder="1" applyAlignment="1" applyProtection="1">
      <alignment horizontal="left" vertical="center"/>
    </xf>
    <xf numFmtId="4" fontId="18" fillId="2" borderId="28" xfId="0" applyNumberFormat="1" applyFont="1" applyFill="1" applyBorder="1" applyAlignment="1" applyProtection="1">
      <alignment horizontal="left" vertical="center"/>
    </xf>
    <xf numFmtId="4" fontId="18" fillId="2" borderId="27" xfId="0" applyNumberFormat="1" applyFont="1" applyFill="1" applyBorder="1" applyAlignment="1" applyProtection="1">
      <alignment horizontal="right" vertical="center"/>
    </xf>
    <xf numFmtId="4" fontId="18" fillId="2" borderId="28" xfId="0" applyNumberFormat="1" applyFont="1" applyFill="1" applyBorder="1" applyAlignment="1" applyProtection="1">
      <alignment horizontal="right" vertical="center"/>
    </xf>
    <xf numFmtId="4" fontId="18" fillId="6" borderId="27" xfId="0" applyNumberFormat="1" applyFont="1" applyFill="1" applyBorder="1" applyAlignment="1" applyProtection="1">
      <alignment horizontal="center" vertical="center"/>
    </xf>
    <xf numFmtId="4" fontId="18" fillId="6" borderId="29" xfId="0" applyNumberFormat="1" applyFont="1" applyFill="1" applyBorder="1" applyAlignment="1" applyProtection="1">
      <alignment horizontal="center" vertical="center"/>
    </xf>
    <xf numFmtId="4" fontId="18" fillId="6" borderId="28" xfId="0" applyNumberFormat="1" applyFont="1" applyFill="1" applyBorder="1" applyAlignment="1" applyProtection="1">
      <alignment horizontal="center" vertical="center"/>
    </xf>
    <xf numFmtId="0" fontId="17" fillId="13" borderId="26" xfId="0" applyFont="1" applyFill="1" applyBorder="1" applyAlignment="1" applyProtection="1">
      <alignment vertical="center" wrapText="1"/>
    </xf>
    <xf numFmtId="0" fontId="16" fillId="14" borderId="30" xfId="0" applyFont="1" applyFill="1" applyBorder="1" applyAlignment="1" applyProtection="1">
      <alignment horizontal="center" vertical="center"/>
    </xf>
    <xf numFmtId="0" fontId="16" fillId="14" borderId="31" xfId="0" applyFont="1" applyFill="1" applyBorder="1" applyAlignment="1" applyProtection="1">
      <alignment horizontal="center" vertical="center"/>
    </xf>
    <xf numFmtId="0" fontId="16" fillId="14" borderId="34" xfId="0" applyFont="1" applyFill="1" applyBorder="1" applyAlignment="1" applyProtection="1">
      <alignment horizontal="center" vertical="center"/>
    </xf>
    <xf numFmtId="0" fontId="23" fillId="4" borderId="0" xfId="0" applyFont="1" applyFill="1" applyAlignment="1" applyProtection="1">
      <alignment vertical="center" wrapText="1"/>
    </xf>
    <xf numFmtId="0" fontId="23" fillId="4" borderId="0" xfId="0" applyFont="1" applyFill="1" applyAlignment="1" applyProtection="1">
      <alignment vertical="center"/>
    </xf>
    <xf numFmtId="0" fontId="24" fillId="4" borderId="0" xfId="0" applyFont="1" applyFill="1" applyProtection="1"/>
    <xf numFmtId="0" fontId="25" fillId="2" borderId="3" xfId="0" applyFont="1" applyFill="1" applyBorder="1" applyAlignment="1" applyProtection="1">
      <alignment horizontal="center" vertical="center"/>
    </xf>
    <xf numFmtId="0" fontId="26" fillId="10" borderId="0" xfId="0" applyFont="1" applyFill="1" applyProtection="1"/>
    <xf numFmtId="0" fontId="27" fillId="12" borderId="13" xfId="0" applyFont="1" applyFill="1" applyBorder="1" applyAlignment="1" applyProtection="1">
      <alignment vertical="center"/>
    </xf>
    <xf numFmtId="0" fontId="18" fillId="2" borderId="25" xfId="0" applyFont="1" applyFill="1" applyBorder="1" applyAlignment="1" applyProtection="1">
      <alignment vertical="center"/>
    </xf>
    <xf numFmtId="15" fontId="18" fillId="2" borderId="25" xfId="0" applyNumberFormat="1" applyFont="1" applyFill="1" applyBorder="1" applyAlignment="1" applyProtection="1">
      <alignment vertical="center"/>
    </xf>
    <xf numFmtId="0" fontId="28" fillId="2" borderId="25" xfId="0" applyFont="1" applyFill="1" applyBorder="1" applyAlignment="1" applyProtection="1">
      <alignment horizontal="center" vertical="center"/>
    </xf>
    <xf numFmtId="0" fontId="32" fillId="2" borderId="18" xfId="0" applyFont="1" applyFill="1" applyBorder="1" applyAlignment="1" applyProtection="1">
      <alignment horizontal="left" vertical="top" wrapText="1"/>
    </xf>
    <xf numFmtId="0" fontId="29" fillId="2" borderId="18" xfId="0" applyFont="1" applyFill="1" applyBorder="1" applyAlignment="1" applyProtection="1">
      <alignment horizontal="left" vertical="top" wrapText="1"/>
    </xf>
    <xf numFmtId="0" fontId="29" fillId="2" borderId="0" xfId="0" applyFont="1" applyFill="1" applyBorder="1" applyAlignment="1" applyProtection="1">
      <alignment horizontal="left" vertical="top" wrapText="1"/>
    </xf>
    <xf numFmtId="0" fontId="6" fillId="0" borderId="0" xfId="0" applyFont="1" applyAlignment="1" applyProtection="1">
      <alignment horizontal="center" vertical="center"/>
    </xf>
    <xf numFmtId="0" fontId="19" fillId="10" borderId="0" xfId="0" applyFont="1" applyFill="1" applyAlignment="1" applyProtection="1">
      <alignment vertical="center"/>
    </xf>
    <xf numFmtId="0" fontId="15" fillId="10" borderId="0" xfId="0" applyFont="1" applyFill="1" applyAlignment="1" applyProtection="1">
      <alignment vertical="center"/>
    </xf>
    <xf numFmtId="0" fontId="31" fillId="2" borderId="18" xfId="0" applyFont="1" applyFill="1" applyBorder="1" applyAlignment="1" applyProtection="1">
      <alignment horizontal="center" vertical="center" wrapText="1"/>
    </xf>
    <xf numFmtId="0" fontId="31" fillId="2" borderId="0" xfId="0" applyFont="1" applyFill="1" applyBorder="1" applyAlignment="1" applyProtection="1">
      <alignment horizontal="center" vertical="center" wrapText="1"/>
    </xf>
    <xf numFmtId="0" fontId="18" fillId="16" borderId="11" xfId="0" applyFont="1" applyFill="1" applyBorder="1" applyAlignment="1" applyProtection="1">
      <alignment horizontal="center" vertical="center"/>
    </xf>
    <xf numFmtId="4" fontId="18" fillId="2" borderId="27" xfId="0" applyNumberFormat="1" applyFont="1" applyFill="1" applyBorder="1" applyAlignment="1" applyProtection="1">
      <alignment horizontal="center" vertical="center"/>
    </xf>
    <xf numFmtId="4" fontId="18" fillId="2" borderId="28" xfId="0" applyNumberFormat="1" applyFont="1" applyFill="1" applyBorder="1" applyAlignment="1" applyProtection="1">
      <alignment horizontal="center" vertical="center"/>
    </xf>
    <xf numFmtId="4" fontId="18" fillId="2" borderId="16" xfId="0" applyNumberFormat="1" applyFont="1" applyFill="1" applyBorder="1" applyAlignment="1" applyProtection="1">
      <alignment horizontal="center" vertical="center"/>
    </xf>
    <xf numFmtId="4" fontId="18" fillId="2" borderId="15" xfId="0" applyNumberFormat="1" applyFont="1" applyFill="1" applyBorder="1" applyAlignment="1" applyProtection="1">
      <alignment horizontal="center" vertical="center"/>
    </xf>
    <xf numFmtId="4" fontId="18" fillId="2" borderId="14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4" formatCode="#,##0.00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numFmt numFmtId="164" formatCode="mmm\ dd\,\ yyyy"/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scheme val="none"/>
      </font>
      <fill>
        <patternFill patternType="solid">
          <fgColor indexed="64"/>
          <bgColor rgb="FFF2F5F8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31" noThreeD="1" sel="1" val="0">
  <itemLst>
    <item val="All Buildings"/>
    <item val="ADMIN"/>
    <item val="COA"/>
    <item val="planning"/>
    <item val="MAINTENANCE BLDG"/>
    <item val="CONSTRUCTION SECTION"/>
    <item val="SUPPLY SECTION"/>
    <item val="HR SECTION"/>
    <item val="FINANCE SECTION"/>
    <item val="RECORDS SECTION"/>
    <item val="CONSTRUCTION"/>
    <item val="MAIN BUILDING"/>
    <item val="BAC BUILDING"/>
    <item val="CANTEEN BUILDING"/>
    <item val="MOTORPOOL"/>
    <item val="BOSS CALVIN PLANNING"/>
  </itemLst>
</formControlPr>
</file>

<file path=xl/ctrlProps/ctrlProp2.xml><?xml version="1.0" encoding="utf-8"?>
<formControlPr xmlns="http://schemas.microsoft.com/office/spreadsheetml/2009/9/main" objectType="Drop" dropLines="11" dropStyle="combo" dx="31" fmlaLink="MAINT_ENTRY!$AB$5" fmlaRange="MAINT_ENTRY!$AA$5:$AA$15" noThreeD="1" sel="1" val="0"/>
</file>

<file path=xl/ctrlProps/ctrlProp3.xml><?xml version="1.0" encoding="utf-8"?>
<formControlPr xmlns="http://schemas.microsoft.com/office/spreadsheetml/2009/9/main" objectType="Drop" dropLines="3" dropStyle="combo" dx="31" fmlaLink="MAINT_ENTRY!$AB$20" fmlaRange="MAINT_ENTRY!$AA$20:$AA$22" noThreeD="1" sel="1" val="0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19</xdr:row>
      <xdr:rowOff>0</xdr:rowOff>
    </xdr:from>
    <xdr:to>
      <xdr:col>6</xdr:col>
      <xdr:colOff>0</xdr:colOff>
      <xdr:row>23</xdr:row>
      <xdr:rowOff>0</xdr:rowOff>
    </xdr:to>
    <xdr:sp macro="AC_OpenBuildings" textlink="">
      <xdr:nvSpPr>
        <xdr:cNvPr id="2" name="BTN_BUILDING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8000" y="5308600"/>
          <a:ext cx="38100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BUILDINGS</a:t>
          </a:r>
        </a:p>
        <a:p>
          <a:pPr algn="ctr"/>
          <a:r>
            <a:rPr lang="en-PH" sz="1000" b="1">
              <a:solidFill>
                <a:srgbClr val="4B555F"/>
              </a:solidFill>
              <a:latin typeface="Aptos"/>
            </a:rPr>
            <a:t>Manage office buildings</a:t>
          </a:r>
          <a:endParaRPr lang="en-PH" sz="1000">
            <a:solidFill>
              <a:srgbClr val="4B555F"/>
            </a:solidFill>
            <a:latin typeface="Aptos"/>
          </a:endParaRPr>
        </a:p>
      </xdr:txBody>
    </xdr:sp>
    <xdr:clientData/>
  </xdr:twoCellAnchor>
  <xdr:twoCellAnchor editAs="absolute">
    <xdr:from>
      <xdr:col>7</xdr:col>
      <xdr:colOff>0</xdr:colOff>
      <xdr:row>19</xdr:row>
      <xdr:rowOff>0</xdr:rowOff>
    </xdr:from>
    <xdr:to>
      <xdr:col>11</xdr:col>
      <xdr:colOff>0</xdr:colOff>
      <xdr:row>23</xdr:row>
      <xdr:rowOff>0</xdr:rowOff>
    </xdr:to>
    <xdr:sp macro="AC_OpenUnits" textlink="">
      <xdr:nvSpPr>
        <xdr:cNvPr id="3" name="BTN_AIRCON_UNIT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0" y="5308600"/>
          <a:ext cx="38100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AIRCON UNITS</a:t>
          </a:r>
        </a:p>
        <a:p>
          <a:pPr algn="ctr"/>
          <a:r>
            <a:rPr lang="en-PH" sz="1000" b="1">
              <a:solidFill>
                <a:srgbClr val="4B555F"/>
              </a:solidFill>
              <a:latin typeface="Aptos"/>
            </a:rPr>
            <a:t>Register and manage units</a:t>
          </a:r>
          <a:endParaRPr lang="en-PH" sz="1000">
            <a:solidFill>
              <a:srgbClr val="4B555F"/>
            </a:solidFill>
            <a:latin typeface="Aptos"/>
          </a:endParaRPr>
        </a:p>
      </xdr:txBody>
    </xdr:sp>
    <xdr:clientData/>
  </xdr:twoCellAnchor>
  <xdr:twoCellAnchor editAs="absolute">
    <xdr:from>
      <xdr:col>12</xdr:col>
      <xdr:colOff>0</xdr:colOff>
      <xdr:row>19</xdr:row>
      <xdr:rowOff>0</xdr:rowOff>
    </xdr:from>
    <xdr:to>
      <xdr:col>16</xdr:col>
      <xdr:colOff>0</xdr:colOff>
      <xdr:row>23</xdr:row>
      <xdr:rowOff>0</xdr:rowOff>
    </xdr:to>
    <xdr:sp macro="AC_OpenMaintenance" textlink="">
      <xdr:nvSpPr>
        <xdr:cNvPr id="4" name="BTN_MAINTENAN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636000" y="5308600"/>
          <a:ext cx="38100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MAINTENANCE</a:t>
          </a:r>
        </a:p>
        <a:p>
          <a:pPr algn="ctr"/>
          <a:r>
            <a:rPr lang="en-PH" sz="1000" b="1">
              <a:solidFill>
                <a:srgbClr val="4B555F"/>
              </a:solidFill>
              <a:latin typeface="Aptos"/>
            </a:rPr>
            <a:t>Record and review service history</a:t>
          </a:r>
          <a:endParaRPr lang="en-PH" sz="1000">
            <a:solidFill>
              <a:srgbClr val="4B555F"/>
            </a:solidFill>
            <a:latin typeface="Aptos"/>
          </a:endParaRPr>
        </a:p>
      </xdr:txBody>
    </xdr:sp>
    <xdr:clientData/>
  </xdr:twoCellAnchor>
  <xdr:twoCellAnchor editAs="absolute">
    <xdr:from>
      <xdr:col>2</xdr:col>
      <xdr:colOff>0</xdr:colOff>
      <xdr:row>24</xdr:row>
      <xdr:rowOff>0</xdr:rowOff>
    </xdr:from>
    <xdr:to>
      <xdr:col>6</xdr:col>
      <xdr:colOff>0</xdr:colOff>
      <xdr:row>28</xdr:row>
      <xdr:rowOff>0</xdr:rowOff>
    </xdr:to>
    <xdr:sp macro="AC_OpenReports" textlink="">
      <xdr:nvSpPr>
        <xdr:cNvPr id="5" name="BTN_REPOR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08000" y="6705600"/>
          <a:ext cx="38100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REPORTS</a:t>
          </a:r>
        </a:p>
        <a:p>
          <a:pPr algn="ctr"/>
          <a:r>
            <a:rPr lang="en-PH" sz="1000" b="1">
              <a:solidFill>
                <a:srgbClr val="4B555F"/>
              </a:solidFill>
              <a:latin typeface="Aptos"/>
            </a:rPr>
            <a:t>Generate monitoring reports</a:t>
          </a:r>
          <a:endParaRPr lang="en-PH" sz="1000">
            <a:solidFill>
              <a:srgbClr val="4B555F"/>
            </a:solidFill>
            <a:latin typeface="Aptos"/>
          </a:endParaRPr>
        </a:p>
      </xdr:txBody>
    </xdr:sp>
    <xdr:clientData/>
  </xdr:twoCellAnchor>
  <xdr:twoCellAnchor editAs="absolute">
    <xdr:from>
      <xdr:col>7</xdr:col>
      <xdr:colOff>0</xdr:colOff>
      <xdr:row>24</xdr:row>
      <xdr:rowOff>0</xdr:rowOff>
    </xdr:from>
    <xdr:to>
      <xdr:col>11</xdr:col>
      <xdr:colOff>0</xdr:colOff>
      <xdr:row>28</xdr:row>
      <xdr:rowOff>0</xdr:rowOff>
    </xdr:to>
    <xdr:sp macro="AC_OpenSettings" textlink="">
      <xdr:nvSpPr>
        <xdr:cNvPr id="6" name="BTN_SETTING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72000" y="6705600"/>
          <a:ext cx="38100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SETTINGS</a:t>
          </a:r>
        </a:p>
        <a:p>
          <a:pPr algn="ctr"/>
          <a:r>
            <a:rPr lang="en-PH" sz="1000" b="1">
              <a:solidFill>
                <a:srgbClr val="4B555F"/>
              </a:solidFill>
              <a:latin typeface="Aptos"/>
            </a:rPr>
            <a:t>Maintenance and system settings</a:t>
          </a:r>
          <a:endParaRPr lang="en-PH" sz="1000">
            <a:solidFill>
              <a:srgbClr val="4B555F"/>
            </a:solidFill>
            <a:latin typeface="Aptos"/>
          </a:endParaRPr>
        </a:p>
      </xdr:txBody>
    </xdr:sp>
    <xdr:clientData/>
  </xdr:twoCellAnchor>
  <xdr:twoCellAnchor editAs="absolute">
    <xdr:from>
      <xdr:col>12</xdr:col>
      <xdr:colOff>0</xdr:colOff>
      <xdr:row>24</xdr:row>
      <xdr:rowOff>0</xdr:rowOff>
    </xdr:from>
    <xdr:to>
      <xdr:col>16</xdr:col>
      <xdr:colOff>0</xdr:colOff>
      <xdr:row>28</xdr:row>
      <xdr:rowOff>0</xdr:rowOff>
    </xdr:to>
    <xdr:sp macro="AC_RefreshDashboard" textlink="">
      <xdr:nvSpPr>
        <xdr:cNvPr id="7" name="BTN_REFRESH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36000" y="6705600"/>
          <a:ext cx="38100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REFRESH DASHBOARD</a:t>
          </a:r>
        </a:p>
        <a:p>
          <a:pPr algn="ctr"/>
          <a:r>
            <a:rPr lang="en-PH" sz="1000" b="1">
              <a:solidFill>
                <a:srgbClr val="4B555F"/>
              </a:solidFill>
              <a:latin typeface="Aptos"/>
            </a:rPr>
            <a:t>Update dashboard information</a:t>
          </a:r>
          <a:endParaRPr lang="en-PH" sz="1000">
            <a:solidFill>
              <a:srgbClr val="4B555F"/>
            </a:solidFill>
            <a:latin typeface="Apto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13</xdr:row>
      <xdr:rowOff>0</xdr:rowOff>
    </xdr:from>
    <xdr:to>
      <xdr:col>6</xdr:col>
      <xdr:colOff>0</xdr:colOff>
      <xdr:row>17</xdr:row>
      <xdr:rowOff>0</xdr:rowOff>
    </xdr:to>
    <xdr:sp macro="AC_AddUnit" textlink="">
      <xdr:nvSpPr>
        <xdr:cNvPr id="2" name="ACUNIT_BTN_AD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663700" y="3632200"/>
          <a:ext cx="413385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ADD AIRCON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Register a new unit</a:t>
          </a:r>
        </a:p>
      </xdr:txBody>
    </xdr:sp>
    <xdr:clientData/>
  </xdr:twoCellAnchor>
  <xdr:twoCellAnchor editAs="absolute">
    <xdr:from>
      <xdr:col>7</xdr:col>
      <xdr:colOff>0</xdr:colOff>
      <xdr:row>13</xdr:row>
      <xdr:rowOff>0</xdr:rowOff>
    </xdr:from>
    <xdr:to>
      <xdr:col>11</xdr:col>
      <xdr:colOff>0</xdr:colOff>
      <xdr:row>17</xdr:row>
      <xdr:rowOff>0</xdr:rowOff>
    </xdr:to>
    <xdr:sp macro="AC_EditUnit" textlink="">
      <xdr:nvSpPr>
        <xdr:cNvPr id="3" name="ACUNIT_BTN_EDI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451600" y="3632200"/>
          <a:ext cx="40386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EDIT AIRCON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Modify selected unit</a:t>
          </a:r>
        </a:p>
      </xdr:txBody>
    </xdr:sp>
    <xdr:clientData/>
  </xdr:twoCellAnchor>
  <xdr:twoCellAnchor editAs="absolute">
    <xdr:from>
      <xdr:col>12</xdr:col>
      <xdr:colOff>0</xdr:colOff>
      <xdr:row>13</xdr:row>
      <xdr:rowOff>0</xdr:rowOff>
    </xdr:from>
    <xdr:to>
      <xdr:col>16</xdr:col>
      <xdr:colOff>0</xdr:colOff>
      <xdr:row>17</xdr:row>
      <xdr:rowOff>0</xdr:rowOff>
    </xdr:to>
    <xdr:sp macro="AC_DeleteUnit" textlink="">
      <xdr:nvSpPr>
        <xdr:cNvPr id="4" name="ACUNIT_BTN_DELE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715750" y="3632200"/>
          <a:ext cx="46482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DELETE AIRCON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Remove selected unit</a:t>
          </a:r>
        </a:p>
      </xdr:txBody>
    </xdr:sp>
    <xdr:clientData/>
  </xdr:twoCellAnchor>
  <xdr:twoCellAnchor editAs="absolute">
    <xdr:from>
      <xdr:col>10</xdr:col>
      <xdr:colOff>63500</xdr:colOff>
      <xdr:row>20</xdr:row>
      <xdr:rowOff>0</xdr:rowOff>
    </xdr:from>
    <xdr:to>
      <xdr:col>13</xdr:col>
      <xdr:colOff>0</xdr:colOff>
      <xdr:row>22</xdr:row>
      <xdr:rowOff>0</xdr:rowOff>
    </xdr:to>
    <xdr:sp macro="AC_SearchUnits" textlink="">
      <xdr:nvSpPr>
        <xdr:cNvPr id="5" name="ACUNIT_BTN_SEARCH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372600" y="5588000"/>
          <a:ext cx="3854450" cy="5588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SEARCH</a:t>
          </a:r>
        </a:p>
      </xdr:txBody>
    </xdr:sp>
    <xdr:clientData/>
  </xdr:twoCellAnchor>
  <xdr:twoCellAnchor editAs="absolute">
    <xdr:from>
      <xdr:col>13</xdr:col>
      <xdr:colOff>50840</xdr:colOff>
      <xdr:row>20</xdr:row>
      <xdr:rowOff>0</xdr:rowOff>
    </xdr:from>
    <xdr:to>
      <xdr:col>16</xdr:col>
      <xdr:colOff>-1</xdr:colOff>
      <xdr:row>22</xdr:row>
      <xdr:rowOff>0</xdr:rowOff>
    </xdr:to>
    <xdr:sp macro="AC_ClearUnitSearch" textlink="">
      <xdr:nvSpPr>
        <xdr:cNvPr id="6" name="ACUNIT_BTN_CLE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277890" y="5588000"/>
          <a:ext cx="3086059" cy="5588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CLEAR</a:t>
          </a:r>
        </a:p>
      </xdr:txBody>
    </xdr:sp>
    <xdr:clientData/>
  </xdr:twoCellAnchor>
  <xdr:twoCellAnchor editAs="absolute">
    <xdr:from>
      <xdr:col>2</xdr:col>
      <xdr:colOff>0</xdr:colOff>
      <xdr:row>42</xdr:row>
      <xdr:rowOff>0</xdr:rowOff>
    </xdr:from>
    <xdr:to>
      <xdr:col>5</xdr:col>
      <xdr:colOff>0</xdr:colOff>
      <xdr:row>45</xdr:row>
      <xdr:rowOff>0</xdr:rowOff>
    </xdr:to>
    <xdr:sp macro="AC_OpenHome" textlink="">
      <xdr:nvSpPr>
        <xdr:cNvPr id="7" name="ACUNIT_BTN_HOM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63700" y="12306300"/>
          <a:ext cx="3181350" cy="8382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HOME</a:t>
          </a:r>
        </a:p>
      </xdr:txBody>
    </xdr:sp>
    <xdr:clientData/>
  </xdr:twoCellAnchor>
  <xdr:twoCellAnchor editAs="absolute">
    <xdr:from>
      <xdr:col>5</xdr:col>
      <xdr:colOff>0</xdr:colOff>
      <xdr:row>42</xdr:row>
      <xdr:rowOff>0</xdr:rowOff>
    </xdr:from>
    <xdr:to>
      <xdr:col>8</xdr:col>
      <xdr:colOff>0</xdr:colOff>
      <xdr:row>45</xdr:row>
      <xdr:rowOff>0</xdr:rowOff>
    </xdr:to>
    <xdr:sp macro="AC_OpenBuildings" textlink="">
      <xdr:nvSpPr>
        <xdr:cNvPr id="8" name="ACUNIT_BTN_BUILDINGS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845050" y="12306300"/>
          <a:ext cx="2559050" cy="8382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BUILDINGS</a:t>
          </a:r>
        </a:p>
      </xdr:txBody>
    </xdr:sp>
    <xdr:clientData/>
  </xdr:twoCellAnchor>
  <xdr:twoCellAnchor editAs="absolute">
    <xdr:from>
      <xdr:col>8</xdr:col>
      <xdr:colOff>0</xdr:colOff>
      <xdr:row>42</xdr:row>
      <xdr:rowOff>0</xdr:rowOff>
    </xdr:from>
    <xdr:to>
      <xdr:col>11</xdr:col>
      <xdr:colOff>0</xdr:colOff>
      <xdr:row>45</xdr:row>
      <xdr:rowOff>0</xdr:rowOff>
    </xdr:to>
    <xdr:sp macro="AC_RefreshUnitDirectory" textlink="">
      <xdr:nvSpPr>
        <xdr:cNvPr id="9" name="ACUNIT_BTN_REFRESH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404100" y="12306300"/>
          <a:ext cx="3086100" cy="8382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REFRESH</a:t>
          </a:r>
        </a:p>
      </xdr:txBody>
    </xdr:sp>
    <xdr:clientData/>
  </xdr:twoCellAnchor>
  <xdr:twoCellAnchor>
    <xdr:from>
      <xdr:col>8</xdr:col>
      <xdr:colOff>945243</xdr:colOff>
      <xdr:row>40</xdr:row>
      <xdr:rowOff>234043</xdr:rowOff>
    </xdr:from>
    <xdr:to>
      <xdr:col>10</xdr:col>
      <xdr:colOff>945243</xdr:colOff>
      <xdr:row>41</xdr:row>
      <xdr:rowOff>232229</xdr:rowOff>
    </xdr:to>
    <xdr:sp macro="AC_UnitsPreviousPage" textlink="">
      <xdr:nvSpPr>
        <xdr:cNvPr id="10" name="ACUNIT_BTN_PREVIOU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8356600" y="12026900"/>
          <a:ext cx="1905000" cy="279400"/>
        </a:xfrm>
        <a:prstGeom prst="roundRect">
          <a:avLst>
            <a:gd name="adj" fmla="val 8000"/>
          </a:avLst>
        </a:prstGeom>
        <a:solidFill>
          <a:srgbClr val="F8FAFC"/>
        </a:solidFill>
        <a:ln w="9525">
          <a:solidFill>
            <a:srgbClr val="B9C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55682"/>
              </a:solidFill>
              <a:latin typeface="Aptos"/>
            </a:rPr>
            <a:t>&lt; PREVIOUS</a:t>
          </a:r>
        </a:p>
      </xdr:txBody>
    </xdr:sp>
    <xdr:clientData/>
  </xdr:twoCellAnchor>
  <xdr:twoCellAnchor>
    <xdr:from>
      <xdr:col>10</xdr:col>
      <xdr:colOff>996043</xdr:colOff>
      <xdr:row>40</xdr:row>
      <xdr:rowOff>234043</xdr:rowOff>
    </xdr:from>
    <xdr:to>
      <xdr:col>12</xdr:col>
      <xdr:colOff>497114</xdr:colOff>
      <xdr:row>41</xdr:row>
      <xdr:rowOff>232229</xdr:rowOff>
    </xdr:to>
    <xdr:sp macro="" textlink="">
      <xdr:nvSpPr>
        <xdr:cNvPr id="11" name="ACUNIT_BTN_NEX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312400" y="12026900"/>
          <a:ext cx="1905000" cy="279400"/>
        </a:xfrm>
        <a:prstGeom prst="roundRect">
          <a:avLst>
            <a:gd name="adj" fmla="val 8000"/>
          </a:avLst>
        </a:prstGeom>
        <a:solidFill>
          <a:srgbClr val="F2F4F6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A5AAAF"/>
              </a:solidFill>
              <a:latin typeface="Aptos"/>
            </a:rPr>
            <a:t>NEXT 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13</xdr:row>
      <xdr:rowOff>0</xdr:rowOff>
    </xdr:from>
    <xdr:to>
      <xdr:col>6</xdr:col>
      <xdr:colOff>0</xdr:colOff>
      <xdr:row>17</xdr:row>
      <xdr:rowOff>0</xdr:rowOff>
    </xdr:to>
    <xdr:sp macro="AC_AddBuilding" textlink="">
      <xdr:nvSpPr>
        <xdr:cNvPr id="2" name="ACBLDG_BTN_AD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09800" y="3632200"/>
          <a:ext cx="43688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ADD BUILDING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Register a new building</a:t>
          </a:r>
        </a:p>
      </xdr:txBody>
    </xdr:sp>
    <xdr:clientData/>
  </xdr:twoCellAnchor>
  <xdr:twoCellAnchor editAs="absolute">
    <xdr:from>
      <xdr:col>7</xdr:col>
      <xdr:colOff>0</xdr:colOff>
      <xdr:row>13</xdr:row>
      <xdr:rowOff>0</xdr:rowOff>
    </xdr:from>
    <xdr:to>
      <xdr:col>11</xdr:col>
      <xdr:colOff>0</xdr:colOff>
      <xdr:row>17</xdr:row>
      <xdr:rowOff>0</xdr:rowOff>
    </xdr:to>
    <xdr:sp macro="AC_EditBuilding" textlink="">
      <xdr:nvSpPr>
        <xdr:cNvPr id="3" name="ACBLDG_BTN_EDI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32600" y="3632200"/>
          <a:ext cx="43688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EDIT BUILDING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Modify selected building</a:t>
          </a:r>
        </a:p>
      </xdr:txBody>
    </xdr:sp>
    <xdr:clientData/>
  </xdr:twoCellAnchor>
  <xdr:twoCellAnchor editAs="absolute">
    <xdr:from>
      <xdr:col>12</xdr:col>
      <xdr:colOff>0</xdr:colOff>
      <xdr:row>13</xdr:row>
      <xdr:rowOff>0</xdr:rowOff>
    </xdr:from>
    <xdr:to>
      <xdr:col>16</xdr:col>
      <xdr:colOff>0</xdr:colOff>
      <xdr:row>17</xdr:row>
      <xdr:rowOff>0</xdr:rowOff>
    </xdr:to>
    <xdr:sp macro="AC_DeleteBuilding" textlink="">
      <xdr:nvSpPr>
        <xdr:cNvPr id="4" name="ACBLDG_BTN_DELET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455400" y="3632200"/>
          <a:ext cx="43688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DELETE BUILDING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Remove selected building</a:t>
          </a:r>
        </a:p>
      </xdr:txBody>
    </xdr:sp>
    <xdr:clientData/>
  </xdr:twoCellAnchor>
  <xdr:twoCellAnchor editAs="absolute">
    <xdr:from>
      <xdr:col>12</xdr:col>
      <xdr:colOff>0</xdr:colOff>
      <xdr:row>20</xdr:row>
      <xdr:rowOff>0</xdr:rowOff>
    </xdr:from>
    <xdr:to>
      <xdr:col>14</xdr:col>
      <xdr:colOff>0</xdr:colOff>
      <xdr:row>22</xdr:row>
      <xdr:rowOff>0</xdr:rowOff>
    </xdr:to>
    <xdr:sp macro="AC_SearchBuildings" textlink="">
      <xdr:nvSpPr>
        <xdr:cNvPr id="5" name="ACBLDG_BTN_SEARCH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455400" y="5588000"/>
          <a:ext cx="2184400" cy="5588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SEARCH</a:t>
          </a:r>
        </a:p>
      </xdr:txBody>
    </xdr:sp>
    <xdr:clientData/>
  </xdr:twoCellAnchor>
  <xdr:twoCellAnchor editAs="absolute">
    <xdr:from>
      <xdr:col>14</xdr:col>
      <xdr:colOff>0</xdr:colOff>
      <xdr:row>20</xdr:row>
      <xdr:rowOff>0</xdr:rowOff>
    </xdr:from>
    <xdr:to>
      <xdr:col>16</xdr:col>
      <xdr:colOff>0</xdr:colOff>
      <xdr:row>22</xdr:row>
      <xdr:rowOff>0</xdr:rowOff>
    </xdr:to>
    <xdr:sp macro="AC_ClearBuildingSearch" textlink="">
      <xdr:nvSpPr>
        <xdr:cNvPr id="6" name="ACBLDG_BTN_CLEA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639800" y="5588000"/>
          <a:ext cx="2184400" cy="5588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CLEAR</a:t>
          </a:r>
        </a:p>
      </xdr:txBody>
    </xdr:sp>
    <xdr:clientData/>
  </xdr:twoCellAnchor>
  <xdr:twoCellAnchor editAs="absolute">
    <xdr:from>
      <xdr:col>2</xdr:col>
      <xdr:colOff>0</xdr:colOff>
      <xdr:row>40</xdr:row>
      <xdr:rowOff>0</xdr:rowOff>
    </xdr:from>
    <xdr:to>
      <xdr:col>5</xdr:col>
      <xdr:colOff>0</xdr:colOff>
      <xdr:row>43</xdr:row>
      <xdr:rowOff>0</xdr:rowOff>
    </xdr:to>
    <xdr:sp macro="AC_OpenHome" textlink="">
      <xdr:nvSpPr>
        <xdr:cNvPr id="7" name="ACBLDG_BTN_HOM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209800" y="11671300"/>
          <a:ext cx="3276600" cy="8382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HOME</a:t>
          </a:r>
        </a:p>
      </xdr:txBody>
    </xdr:sp>
    <xdr:clientData/>
  </xdr:twoCellAnchor>
  <xdr:twoCellAnchor editAs="absolute">
    <xdr:from>
      <xdr:col>5</xdr:col>
      <xdr:colOff>0</xdr:colOff>
      <xdr:row>40</xdr:row>
      <xdr:rowOff>0</xdr:rowOff>
    </xdr:from>
    <xdr:to>
      <xdr:col>8</xdr:col>
      <xdr:colOff>0</xdr:colOff>
      <xdr:row>43</xdr:row>
      <xdr:rowOff>0</xdr:rowOff>
    </xdr:to>
    <xdr:sp macro="AC_RefreshBuildingDirectory" textlink="">
      <xdr:nvSpPr>
        <xdr:cNvPr id="8" name="ACBLDG_BTN_REFRESH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486400" y="11671300"/>
          <a:ext cx="2438400" cy="8382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REFRESH</a:t>
          </a:r>
        </a:p>
      </xdr:txBody>
    </xdr:sp>
    <xdr:clientData/>
  </xdr:twoCellAnchor>
  <xdr:twoCellAnchor editAs="absolute">
    <xdr:from>
      <xdr:col>8</xdr:col>
      <xdr:colOff>0</xdr:colOff>
      <xdr:row>38</xdr:row>
      <xdr:rowOff>57150</xdr:rowOff>
    </xdr:from>
    <xdr:to>
      <xdr:col>12</xdr:col>
      <xdr:colOff>0</xdr:colOff>
      <xdr:row>39</xdr:row>
      <xdr:rowOff>57150</xdr:rowOff>
    </xdr:to>
    <xdr:sp macro="AC_BuildingsPreviousPage" textlink="">
      <xdr:nvSpPr>
        <xdr:cNvPr id="9" name="ACBLDG_BTN_PREVIOUS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924800" y="11169650"/>
          <a:ext cx="3530600" cy="279400"/>
        </a:xfrm>
        <a:prstGeom prst="roundRect">
          <a:avLst/>
        </a:prstGeom>
        <a:solidFill>
          <a:srgbClr val="F8FAFC"/>
        </a:solidFill>
        <a:ln w="9525">
          <a:solidFill>
            <a:srgbClr val="B9C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55682"/>
              </a:solidFill>
              <a:latin typeface="Aptos"/>
            </a:rPr>
            <a:t>&lt; PREVIOUS</a:t>
          </a:r>
        </a:p>
      </xdr:txBody>
    </xdr:sp>
    <xdr:clientData/>
  </xdr:twoCellAnchor>
  <xdr:twoCellAnchor editAs="absolute">
    <xdr:from>
      <xdr:col>12</xdr:col>
      <xdr:colOff>88900</xdr:colOff>
      <xdr:row>38</xdr:row>
      <xdr:rowOff>57150</xdr:rowOff>
    </xdr:from>
    <xdr:to>
      <xdr:col>15</xdr:col>
      <xdr:colOff>342900</xdr:colOff>
      <xdr:row>39</xdr:row>
      <xdr:rowOff>57150</xdr:rowOff>
    </xdr:to>
    <xdr:sp macro="" textlink="">
      <xdr:nvSpPr>
        <xdr:cNvPr id="10" name="ACBLDG_BTN_NEXT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1544300" y="11169650"/>
          <a:ext cx="3530600" cy="279400"/>
        </a:xfrm>
        <a:prstGeom prst="roundRect">
          <a:avLst/>
        </a:prstGeom>
        <a:solidFill>
          <a:srgbClr val="F2F4F6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A5AAAF"/>
              </a:solidFill>
              <a:latin typeface="Aptos"/>
            </a:rPr>
            <a:t>NEXT 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13</xdr:row>
      <xdr:rowOff>0</xdr:rowOff>
    </xdr:from>
    <xdr:to>
      <xdr:col>6</xdr:col>
      <xdr:colOff>0</xdr:colOff>
      <xdr:row>17</xdr:row>
      <xdr:rowOff>0</xdr:rowOff>
    </xdr:to>
    <xdr:sp macro="AC_AddMaintenance" textlink="">
      <xdr:nvSpPr>
        <xdr:cNvPr id="2" name="ACMAINT_BTN_A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60500" y="3632200"/>
          <a:ext cx="407035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ADD MAINTENANCE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Record cleaning, repair or PM</a:t>
          </a:r>
        </a:p>
      </xdr:txBody>
    </xdr:sp>
    <xdr:clientData/>
  </xdr:twoCellAnchor>
  <xdr:twoCellAnchor editAs="absolute">
    <xdr:from>
      <xdr:col>7</xdr:col>
      <xdr:colOff>0</xdr:colOff>
      <xdr:row>13</xdr:row>
      <xdr:rowOff>0</xdr:rowOff>
    </xdr:from>
    <xdr:to>
      <xdr:col>11</xdr:col>
      <xdr:colOff>0</xdr:colOff>
      <xdr:row>17</xdr:row>
      <xdr:rowOff>0</xdr:rowOff>
    </xdr:to>
    <xdr:sp macro="AC_ViewUnitHistory" textlink="">
      <xdr:nvSpPr>
        <xdr:cNvPr id="3" name="ACMAINT_BTN_HISTORY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934200" y="3632200"/>
          <a:ext cx="53975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VIEW UNIT HISTORY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Review complete unit service history</a:t>
          </a:r>
        </a:p>
      </xdr:txBody>
    </xdr:sp>
    <xdr:clientData/>
  </xdr:twoCellAnchor>
  <xdr:twoCellAnchor editAs="absolute">
    <xdr:from>
      <xdr:col>12</xdr:col>
      <xdr:colOff>0</xdr:colOff>
      <xdr:row>13</xdr:row>
      <xdr:rowOff>0</xdr:rowOff>
    </xdr:from>
    <xdr:to>
      <xdr:col>16</xdr:col>
      <xdr:colOff>0</xdr:colOff>
      <xdr:row>17</xdr:row>
      <xdr:rowOff>0</xdr:rowOff>
    </xdr:to>
    <xdr:sp macro="AC_DeleteMaintenanceRecord" textlink="">
      <xdr:nvSpPr>
        <xdr:cNvPr id="4" name="ACMAINT_BTN_DELET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3601700" y="3632200"/>
          <a:ext cx="3810000" cy="1117600"/>
        </a:xfrm>
        <a:prstGeom prst="roundRect">
          <a:avLst/>
        </a:prstGeom>
        <a:solidFill>
          <a:srgbClr val="FFFFFF"/>
        </a:solidFill>
        <a:ln w="15875">
          <a:solidFill>
            <a:srgbClr val="BEC8D2"/>
          </a:solidFill>
        </a:ln>
        <a:effectLst>
          <a:outerShdw blurRad="63500" dist="31750" dir="3187807" rotWithShape="0">
            <a:scrgbClr r="0" g="0" b="0">
              <a:alpha val="18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Ins="101600" bIns="76200" rtlCol="0" anchor="ctr"/>
        <a:lstStyle/>
        <a:p>
          <a:pPr algn="ctr"/>
          <a:r>
            <a:rPr lang="en-PH" sz="1300" b="1">
              <a:solidFill>
                <a:srgbClr val="214E79"/>
              </a:solidFill>
              <a:latin typeface="Aptos"/>
            </a:rPr>
            <a:t>DELETE RECORD</a:t>
          </a:r>
        </a:p>
        <a:p>
          <a:pPr algn="ctr"/>
          <a:r>
            <a:rPr lang="en-PH" sz="900">
              <a:solidFill>
                <a:srgbClr val="4B555F"/>
              </a:solidFill>
              <a:latin typeface="Aptos"/>
            </a:rPr>
            <a:t>Remove selected maintenance record</a:t>
          </a:r>
        </a:p>
      </xdr:txBody>
    </xdr:sp>
    <xdr:clientData/>
  </xdr:twoCellAnchor>
  <xdr:twoCellAnchor editAs="absolute">
    <xdr:from>
      <xdr:col>10</xdr:col>
      <xdr:colOff>67235</xdr:colOff>
      <xdr:row>20</xdr:row>
      <xdr:rowOff>0</xdr:rowOff>
    </xdr:from>
    <xdr:to>
      <xdr:col>13</xdr:col>
      <xdr:colOff>0</xdr:colOff>
      <xdr:row>22</xdr:row>
      <xdr:rowOff>0</xdr:rowOff>
    </xdr:to>
    <xdr:sp macro="AC_SearchMaintenance" textlink="">
      <xdr:nvSpPr>
        <xdr:cNvPr id="5" name="ACMAINT_BTN_SEARCH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459882" y="5528235"/>
          <a:ext cx="3115236" cy="552824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SEARCH</a:t>
          </a:r>
        </a:p>
      </xdr:txBody>
    </xdr:sp>
    <xdr:clientData/>
  </xdr:twoCellAnchor>
  <xdr:twoCellAnchor editAs="absolute">
    <xdr:from>
      <xdr:col>13</xdr:col>
      <xdr:colOff>60606</xdr:colOff>
      <xdr:row>20</xdr:row>
      <xdr:rowOff>0</xdr:rowOff>
    </xdr:from>
    <xdr:to>
      <xdr:col>16</xdr:col>
      <xdr:colOff>0</xdr:colOff>
      <xdr:row>22</xdr:row>
      <xdr:rowOff>0</xdr:rowOff>
    </xdr:to>
    <xdr:sp macro="AC_ClearMaintenanceSearch" textlink="">
      <xdr:nvSpPr>
        <xdr:cNvPr id="6" name="ACMAINT_BTN_CLEA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4635724" y="5528235"/>
          <a:ext cx="2808100" cy="552824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CLEAR</a:t>
          </a:r>
        </a:p>
      </xdr:txBody>
    </xdr:sp>
    <xdr:clientData/>
  </xdr:twoCellAnchor>
  <xdr:twoCellAnchor editAs="absolute">
    <xdr:from>
      <xdr:col>2</xdr:col>
      <xdr:colOff>0</xdr:colOff>
      <xdr:row>43</xdr:row>
      <xdr:rowOff>0</xdr:rowOff>
    </xdr:from>
    <xdr:to>
      <xdr:col>4</xdr:col>
      <xdr:colOff>881530</xdr:colOff>
      <xdr:row>46</xdr:row>
      <xdr:rowOff>0</xdr:rowOff>
    </xdr:to>
    <xdr:sp macro="AC_OpenHome" textlink="">
      <xdr:nvSpPr>
        <xdr:cNvPr id="7" name="ACMAINT_BTN_HOM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464235" y="12602882"/>
          <a:ext cx="2838824" cy="829236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HOME</a:t>
          </a:r>
        </a:p>
      </xdr:txBody>
    </xdr:sp>
    <xdr:clientData/>
  </xdr:twoCellAnchor>
  <xdr:twoCellAnchor editAs="absolute">
    <xdr:from>
      <xdr:col>5</xdr:col>
      <xdr:colOff>0</xdr:colOff>
      <xdr:row>43</xdr:row>
      <xdr:rowOff>0</xdr:rowOff>
    </xdr:from>
    <xdr:to>
      <xdr:col>7</xdr:col>
      <xdr:colOff>1069635</xdr:colOff>
      <xdr:row>46</xdr:row>
      <xdr:rowOff>0</xdr:rowOff>
    </xdr:to>
    <xdr:sp macro="AC_OpenUnits" textlink="">
      <xdr:nvSpPr>
        <xdr:cNvPr id="8" name="ACMAINT_BTN_UNIT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377765" y="12602882"/>
          <a:ext cx="3639517" cy="829236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AIRCON UNITS</a:t>
          </a:r>
        </a:p>
      </xdr:txBody>
    </xdr:sp>
    <xdr:clientData/>
  </xdr:twoCellAnchor>
  <xdr:twoCellAnchor editAs="absolute">
    <xdr:from>
      <xdr:col>8</xdr:col>
      <xdr:colOff>1</xdr:colOff>
      <xdr:row>43</xdr:row>
      <xdr:rowOff>0</xdr:rowOff>
    </xdr:from>
    <xdr:to>
      <xdr:col>10</xdr:col>
      <xdr:colOff>847625</xdr:colOff>
      <xdr:row>46</xdr:row>
      <xdr:rowOff>0</xdr:rowOff>
    </xdr:to>
    <xdr:sp macro="AC_RefreshMaintenanceDirectory" textlink="">
      <xdr:nvSpPr>
        <xdr:cNvPr id="9" name="ACMAINT_BTN_REFRESH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113060" y="12602882"/>
          <a:ext cx="4127212" cy="829236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REFRESH</a:t>
          </a:r>
        </a:p>
      </xdr:txBody>
    </xdr:sp>
    <xdr:clientData/>
  </xdr:twoCellAnchor>
  <xdr:twoCellAnchor>
    <xdr:from>
      <xdr:col>2</xdr:col>
      <xdr:colOff>0</xdr:colOff>
      <xdr:row>41</xdr:row>
      <xdr:rowOff>0</xdr:rowOff>
    </xdr:from>
    <xdr:to>
      <xdr:col>9</xdr:col>
      <xdr:colOff>0</xdr:colOff>
      <xdr:row>42</xdr:row>
      <xdr:rowOff>0</xdr:rowOff>
    </xdr:to>
    <xdr:sp macro="" textlink="">
      <xdr:nvSpPr>
        <xdr:cNvPr id="10" name="ACMAINT_TXT_PAGEINF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460500" y="12065000"/>
          <a:ext cx="8001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endParaRPr lang="en-PH" sz="800" i="1">
            <a:solidFill>
              <a:srgbClr val="6E7882"/>
            </a:solidFill>
            <a:latin typeface="Aptos"/>
          </a:endParaRPr>
        </a:p>
      </xdr:txBody>
    </xdr:sp>
    <xdr:clientData/>
  </xdr:twoCellAnchor>
  <xdr:twoCellAnchor>
    <xdr:from>
      <xdr:col>8</xdr:col>
      <xdr:colOff>1346200</xdr:colOff>
      <xdr:row>41</xdr:row>
      <xdr:rowOff>31750</xdr:rowOff>
    </xdr:from>
    <xdr:to>
      <xdr:col>11</xdr:col>
      <xdr:colOff>1066800</xdr:colOff>
      <xdr:row>42</xdr:row>
      <xdr:rowOff>31750</xdr:rowOff>
    </xdr:to>
    <xdr:sp macro="AC_MaintenancePreviousPage" textlink="">
      <xdr:nvSpPr>
        <xdr:cNvPr id="11" name="ACMAINT_BTN_PREVIOUS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9448800" y="12096750"/>
          <a:ext cx="3949700" cy="279400"/>
        </a:xfrm>
        <a:prstGeom prst="roundRect">
          <a:avLst/>
        </a:prstGeom>
        <a:solidFill>
          <a:srgbClr val="FFFFFF"/>
        </a:solidFill>
        <a:ln>
          <a:solidFill>
            <a:srgbClr val="BECDD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5F87"/>
              </a:solidFill>
              <a:latin typeface="Aptos"/>
            </a:rPr>
            <a:t>PREVIOUS</a:t>
          </a:r>
        </a:p>
      </xdr:txBody>
    </xdr:sp>
    <xdr:clientData/>
  </xdr:twoCellAnchor>
  <xdr:twoCellAnchor>
    <xdr:from>
      <xdr:col>11</xdr:col>
      <xdr:colOff>1117600</xdr:colOff>
      <xdr:row>41</xdr:row>
      <xdr:rowOff>31750</xdr:rowOff>
    </xdr:from>
    <xdr:to>
      <xdr:col>15</xdr:col>
      <xdr:colOff>939800</xdr:colOff>
      <xdr:row>42</xdr:row>
      <xdr:rowOff>31750</xdr:rowOff>
    </xdr:to>
    <xdr:sp macro="AC_MaintenanceNextPage" textlink="">
      <xdr:nvSpPr>
        <xdr:cNvPr id="12" name="ACMAINT_BTN_NEXT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3449300" y="12096750"/>
          <a:ext cx="3949700" cy="279400"/>
        </a:xfrm>
        <a:prstGeom prst="roundRect">
          <a:avLst/>
        </a:prstGeom>
        <a:solidFill>
          <a:srgbClr val="F5F7F9"/>
        </a:solidFill>
        <a:ln>
          <a:solidFill>
            <a:srgbClr val="DCE1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AAAFB4"/>
              </a:solidFill>
              <a:latin typeface="Aptos"/>
            </a:rPr>
            <a:t>NEXT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37917</xdr:colOff>
      <xdr:row>8</xdr:row>
      <xdr:rowOff>55284</xdr:rowOff>
    </xdr:from>
    <xdr:to>
      <xdr:col>12</xdr:col>
      <xdr:colOff>989657</xdr:colOff>
      <xdr:row>9</xdr:row>
      <xdr:rowOff>155806</xdr:rowOff>
    </xdr:to>
    <xdr:sp macro="AC_SelectorApplyBuilding" textlink="">
      <xdr:nvSpPr>
        <xdr:cNvPr id="2" name="ACSEL_BTN_BUILDI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002623" y="2266578"/>
          <a:ext cx="3133152" cy="376934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SELECT BUILDING</a:t>
          </a:r>
        </a:p>
      </xdr:txBody>
    </xdr:sp>
    <xdr:clientData/>
  </xdr:twoCellAnchor>
  <xdr:twoCellAnchor editAs="absolute">
    <xdr:from>
      <xdr:col>13</xdr:col>
      <xdr:colOff>15692</xdr:colOff>
      <xdr:row>8</xdr:row>
      <xdr:rowOff>55284</xdr:rowOff>
    </xdr:from>
    <xdr:to>
      <xdr:col>15</xdr:col>
      <xdr:colOff>859007</xdr:colOff>
      <xdr:row>9</xdr:row>
      <xdr:rowOff>155806</xdr:rowOff>
    </xdr:to>
    <xdr:sp macro="AC_SelectorShowAll" textlink="">
      <xdr:nvSpPr>
        <xdr:cNvPr id="3" name="ACSEL_BTN_AL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252516" y="2266578"/>
          <a:ext cx="2890256" cy="376934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ALL</a:t>
          </a:r>
        </a:p>
      </xdr:txBody>
    </xdr:sp>
    <xdr:clientData/>
  </xdr:twoCellAnchor>
  <xdr:twoCellAnchor editAs="absolute">
    <xdr:from>
      <xdr:col>10</xdr:col>
      <xdr:colOff>34742</xdr:colOff>
      <xdr:row>11</xdr:row>
      <xdr:rowOff>64810</xdr:rowOff>
    </xdr:from>
    <xdr:to>
      <xdr:col>12</xdr:col>
      <xdr:colOff>992604</xdr:colOff>
      <xdr:row>12</xdr:row>
      <xdr:rowOff>171826</xdr:rowOff>
    </xdr:to>
    <xdr:sp macro="AC_SelectorSearch" textlink="">
      <xdr:nvSpPr>
        <xdr:cNvPr id="4" name="ACSEL_BTN_SEARCH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999448" y="3105339"/>
          <a:ext cx="3139274" cy="383428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SEARCH</a:t>
          </a:r>
        </a:p>
      </xdr:txBody>
    </xdr:sp>
    <xdr:clientData/>
  </xdr:twoCellAnchor>
  <xdr:twoCellAnchor editAs="absolute">
    <xdr:from>
      <xdr:col>13</xdr:col>
      <xdr:colOff>18866</xdr:colOff>
      <xdr:row>11</xdr:row>
      <xdr:rowOff>64810</xdr:rowOff>
    </xdr:from>
    <xdr:to>
      <xdr:col>15</xdr:col>
      <xdr:colOff>859120</xdr:colOff>
      <xdr:row>12</xdr:row>
      <xdr:rowOff>171826</xdr:rowOff>
    </xdr:to>
    <xdr:sp macro="AC_SelectorClearSearch" textlink="">
      <xdr:nvSpPr>
        <xdr:cNvPr id="5" name="ACSEL_BTN_CLEA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255690" y="3105339"/>
          <a:ext cx="2887195" cy="383428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CLEAR</a:t>
          </a:r>
        </a:p>
      </xdr:txBody>
    </xdr:sp>
    <xdr:clientData/>
  </xdr:twoCellAnchor>
  <xdr:twoCellAnchor editAs="absolute">
    <xdr:from>
      <xdr:col>10</xdr:col>
      <xdr:colOff>60330</xdr:colOff>
      <xdr:row>37</xdr:row>
      <xdr:rowOff>19231</xdr:rowOff>
    </xdr:from>
    <xdr:to>
      <xdr:col>12</xdr:col>
      <xdr:colOff>979800</xdr:colOff>
      <xdr:row>39</xdr:row>
      <xdr:rowOff>246530</xdr:rowOff>
    </xdr:to>
    <xdr:sp macro="AC_SelectorUseSelected" textlink="">
      <xdr:nvSpPr>
        <xdr:cNvPr id="6" name="ACSEL_BTN_US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9025036" y="10963643"/>
          <a:ext cx="3100882" cy="780122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USE SELECTED UNIT</a:t>
          </a:r>
        </a:p>
      </xdr:txBody>
    </xdr:sp>
    <xdr:clientData/>
  </xdr:twoCellAnchor>
  <xdr:twoCellAnchor editAs="absolute">
    <xdr:from>
      <xdr:col>13</xdr:col>
      <xdr:colOff>38105</xdr:colOff>
      <xdr:row>37</xdr:row>
      <xdr:rowOff>19231</xdr:rowOff>
    </xdr:from>
    <xdr:to>
      <xdr:col>15</xdr:col>
      <xdr:colOff>851652</xdr:colOff>
      <xdr:row>39</xdr:row>
      <xdr:rowOff>246530</xdr:rowOff>
    </xdr:to>
    <xdr:sp macro="AC_SelectorCancel" textlink="">
      <xdr:nvSpPr>
        <xdr:cNvPr id="7" name="ACSEL_BTN_CANC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274929" y="10963643"/>
          <a:ext cx="2860488" cy="780122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CANCEL</a:t>
          </a:r>
        </a:p>
      </xdr:txBody>
    </xdr:sp>
    <xdr:clientData/>
  </xdr:twoCellAnchor>
  <xdr:twoCellAnchor editAs="absolute">
    <xdr:from>
      <xdr:col>8</xdr:col>
      <xdr:colOff>1028324</xdr:colOff>
      <xdr:row>34</xdr:row>
      <xdr:rowOff>34361</xdr:rowOff>
    </xdr:from>
    <xdr:to>
      <xdr:col>12</xdr:col>
      <xdr:colOff>961647</xdr:colOff>
      <xdr:row>34</xdr:row>
      <xdr:rowOff>268940</xdr:rowOff>
    </xdr:to>
    <xdr:sp macro="AC_SelectorPreviousPage" textlink="">
      <xdr:nvSpPr>
        <xdr:cNvPr id="8" name="ACSEL_BTN_PREVIOU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811618" y="10149537"/>
          <a:ext cx="4296147" cy="234579"/>
        </a:xfrm>
        <a:prstGeom prst="roundRect">
          <a:avLst/>
        </a:prstGeom>
        <a:solidFill>
          <a:srgbClr val="F5F7F9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AAAFB4"/>
              </a:solidFill>
              <a:latin typeface="Aptos"/>
            </a:rPr>
            <a:t>PREVIOUS</a:t>
          </a:r>
        </a:p>
      </xdr:txBody>
    </xdr:sp>
    <xdr:clientData/>
  </xdr:twoCellAnchor>
  <xdr:twoCellAnchor editAs="absolute">
    <xdr:from>
      <xdr:col>12</xdr:col>
      <xdr:colOff>1054101</xdr:colOff>
      <xdr:row>34</xdr:row>
      <xdr:rowOff>34361</xdr:rowOff>
    </xdr:from>
    <xdr:to>
      <xdr:col>15</xdr:col>
      <xdr:colOff>881530</xdr:colOff>
      <xdr:row>34</xdr:row>
      <xdr:rowOff>268940</xdr:rowOff>
    </xdr:to>
    <xdr:sp macro="AC_SelectorNextPage" textlink="">
      <xdr:nvSpPr>
        <xdr:cNvPr id="9" name="ACSEL_BTN_NEXT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200219" y="10149537"/>
          <a:ext cx="2965076" cy="234579"/>
        </a:xfrm>
        <a:prstGeom prst="roundRect">
          <a:avLst/>
        </a:prstGeom>
        <a:solidFill>
          <a:srgbClr val="F5F7F9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AAAFB4"/>
              </a:solidFill>
              <a:latin typeface="Aptos"/>
            </a:rPr>
            <a:t>NEXT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</xdr:row>
          <xdr:rowOff>25400</xdr:rowOff>
        </xdr:from>
        <xdr:to>
          <xdr:col>9</xdr:col>
          <xdr:colOff>1066800</xdr:colOff>
          <xdr:row>9</xdr:row>
          <xdr:rowOff>254000</xdr:rowOff>
        </xdr:to>
        <xdr:sp macro="" textlink="">
          <xdr:nvSpPr>
            <xdr:cNvPr id="8206" name="ACSEL_CMB_BUILDING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40</xdr:row>
      <xdr:rowOff>0</xdr:rowOff>
    </xdr:from>
    <xdr:to>
      <xdr:col>6</xdr:col>
      <xdr:colOff>0</xdr:colOff>
      <xdr:row>44</xdr:row>
      <xdr:rowOff>0</xdr:rowOff>
    </xdr:to>
    <xdr:sp macro="AC_SaveMaintenanceEntry" textlink="">
      <xdr:nvSpPr>
        <xdr:cNvPr id="2" name="ACENTRY_BTN_SAV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08000" y="11176000"/>
          <a:ext cx="3810000" cy="11176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rgbClr val="214E79"/>
              </a:solidFill>
              <a:latin typeface="Aptos"/>
            </a:rPr>
            <a:t>SAVE MAINTENANCE</a:t>
          </a:r>
        </a:p>
      </xdr:txBody>
    </xdr:sp>
    <xdr:clientData/>
  </xdr:twoCellAnchor>
  <xdr:twoCellAnchor editAs="absolute">
    <xdr:from>
      <xdr:col>7</xdr:col>
      <xdr:colOff>0</xdr:colOff>
      <xdr:row>40</xdr:row>
      <xdr:rowOff>0</xdr:rowOff>
    </xdr:from>
    <xdr:to>
      <xdr:col>11</xdr:col>
      <xdr:colOff>0</xdr:colOff>
      <xdr:row>44</xdr:row>
      <xdr:rowOff>0</xdr:rowOff>
    </xdr:to>
    <xdr:sp macro="AC_ClearMaintenanceEntry" textlink="">
      <xdr:nvSpPr>
        <xdr:cNvPr id="3" name="ACENTRY_BTN_CLEAR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270500" y="11176000"/>
          <a:ext cx="2413000" cy="11176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rgbClr val="214E79"/>
              </a:solidFill>
              <a:latin typeface="Aptos"/>
            </a:rPr>
            <a:t>CLEAR FORM</a:t>
          </a:r>
        </a:p>
      </xdr:txBody>
    </xdr:sp>
    <xdr:clientData/>
  </xdr:twoCellAnchor>
  <xdr:twoCellAnchor editAs="absolute">
    <xdr:from>
      <xdr:col>12</xdr:col>
      <xdr:colOff>0</xdr:colOff>
      <xdr:row>40</xdr:row>
      <xdr:rowOff>0</xdr:rowOff>
    </xdr:from>
    <xdr:to>
      <xdr:col>16</xdr:col>
      <xdr:colOff>0</xdr:colOff>
      <xdr:row>44</xdr:row>
      <xdr:rowOff>0</xdr:rowOff>
    </xdr:to>
    <xdr:sp macro="AC_CancelMaintenanceEntry" textlink="">
      <xdr:nvSpPr>
        <xdr:cNvPr id="4" name="ACENTRY_BTN_CANCEL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636000" y="11176000"/>
          <a:ext cx="3810000" cy="11176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rgbClr val="214E79"/>
              </a:solidFill>
              <a:latin typeface="Aptos"/>
            </a:rPr>
            <a:t>CANCEL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14</xdr:row>
          <xdr:rowOff>25400</xdr:rowOff>
        </xdr:from>
        <xdr:to>
          <xdr:col>15</xdr:col>
          <xdr:colOff>927100</xdr:colOff>
          <xdr:row>15</xdr:row>
          <xdr:rowOff>254000</xdr:rowOff>
        </xdr:to>
        <xdr:sp macro="" textlink="">
          <xdr:nvSpPr>
            <xdr:cNvPr id="9278" name="ACENTRY_CMB_ACTIVITY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236100E-6608-4E6D-941A-AC627FE54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32</xdr:row>
          <xdr:rowOff>25400</xdr:rowOff>
        </xdr:from>
        <xdr:to>
          <xdr:col>7</xdr:col>
          <xdr:colOff>927100</xdr:colOff>
          <xdr:row>33</xdr:row>
          <xdr:rowOff>254000</xdr:rowOff>
        </xdr:to>
        <xdr:sp macro="" textlink="">
          <xdr:nvSpPr>
            <xdr:cNvPr id="9279" name="ACENTRY_CMB_STATUS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A67DE9D4-A54C-4E98-A365-F1C77E60B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30256</xdr:rowOff>
    </xdr:from>
    <xdr:to>
      <xdr:col>6</xdr:col>
      <xdr:colOff>7097</xdr:colOff>
      <xdr:row>12</xdr:row>
      <xdr:rowOff>35859</xdr:rowOff>
    </xdr:to>
    <xdr:sp macro="" textlink="">
      <xdr:nvSpPr>
        <xdr:cNvPr id="2" name="ACRPT_CARD_BUILDING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08000" y="2235200"/>
          <a:ext cx="2971800" cy="1117600"/>
        </a:xfrm>
        <a:prstGeom prst="roundRect">
          <a:avLst/>
        </a:prstGeom>
        <a:solidFill>
          <a:srgbClr val="FFFFFF"/>
        </a:solidFill>
        <a:ln w="12700">
          <a:solidFill>
            <a:srgbClr val="C3CDD7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3741"/>
              </a:solidFill>
              <a:latin typeface="Aptos"/>
            </a:rPr>
            <a:t>TOTAL BUILDINGS</a:t>
          </a:r>
        </a:p>
        <a:p>
          <a:pPr algn="ctr"/>
          <a:r>
            <a:rPr lang="en-PH" sz="1700" b="1">
              <a:solidFill>
                <a:srgbClr val="214E79"/>
              </a:solidFill>
              <a:latin typeface="Aptos"/>
            </a:rPr>
            <a:t>15</a:t>
          </a:r>
        </a:p>
      </xdr:txBody>
    </xdr:sp>
    <xdr:clientData/>
  </xdr:twoCellAnchor>
  <xdr:twoCellAnchor editAs="absolute">
    <xdr:from>
      <xdr:col>6</xdr:col>
      <xdr:colOff>7097</xdr:colOff>
      <xdr:row>8</xdr:row>
      <xdr:rowOff>30256</xdr:rowOff>
    </xdr:from>
    <xdr:to>
      <xdr:col>10</xdr:col>
      <xdr:colOff>26894</xdr:colOff>
      <xdr:row>12</xdr:row>
      <xdr:rowOff>35859</xdr:rowOff>
    </xdr:to>
    <xdr:sp macro="" textlink="">
      <xdr:nvSpPr>
        <xdr:cNvPr id="3" name="ACRPT_CARD_TOTA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479800" y="2235200"/>
          <a:ext cx="2971800" cy="1117600"/>
        </a:xfrm>
        <a:prstGeom prst="roundRect">
          <a:avLst/>
        </a:prstGeom>
        <a:solidFill>
          <a:srgbClr val="FFFFFF"/>
        </a:solidFill>
        <a:ln w="12700">
          <a:solidFill>
            <a:srgbClr val="C3CDD7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3741"/>
              </a:solidFill>
              <a:latin typeface="Aptos"/>
            </a:rPr>
            <a:t>TOTAL AIRCONS</a:t>
          </a:r>
        </a:p>
        <a:p>
          <a:pPr algn="ctr"/>
          <a:r>
            <a:rPr lang="en-PH" sz="1700" b="1">
              <a:solidFill>
                <a:srgbClr val="214E79"/>
              </a:solidFill>
              <a:latin typeface="Aptos"/>
            </a:rPr>
            <a:t>18</a:t>
          </a:r>
        </a:p>
      </xdr:txBody>
    </xdr:sp>
    <xdr:clientData/>
  </xdr:twoCellAnchor>
  <xdr:twoCellAnchor editAs="absolute">
    <xdr:from>
      <xdr:col>10</xdr:col>
      <xdr:colOff>26894</xdr:colOff>
      <xdr:row>8</xdr:row>
      <xdr:rowOff>30256</xdr:rowOff>
    </xdr:from>
    <xdr:to>
      <xdr:col>14</xdr:col>
      <xdr:colOff>40341</xdr:colOff>
      <xdr:row>12</xdr:row>
      <xdr:rowOff>35859</xdr:rowOff>
    </xdr:to>
    <xdr:sp macro="" textlink="">
      <xdr:nvSpPr>
        <xdr:cNvPr id="4" name="ACRPT_CARD_OPERATIONAL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451600" y="2235200"/>
          <a:ext cx="2971800" cy="1117600"/>
        </a:xfrm>
        <a:prstGeom prst="roundRect">
          <a:avLst/>
        </a:prstGeom>
        <a:solidFill>
          <a:srgbClr val="FFFFFF"/>
        </a:solidFill>
        <a:ln w="12700">
          <a:solidFill>
            <a:srgbClr val="C3CDD7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3741"/>
              </a:solidFill>
              <a:latin typeface="Aptos"/>
            </a:rPr>
            <a:t>OPERATIONAL</a:t>
          </a:r>
        </a:p>
        <a:p>
          <a:pPr algn="ctr"/>
          <a:r>
            <a:rPr lang="en-PH" sz="1700" b="1">
              <a:solidFill>
                <a:srgbClr val="214E79"/>
              </a:solidFill>
              <a:latin typeface="Aptos"/>
            </a:rPr>
            <a:t>18</a:t>
          </a:r>
        </a:p>
      </xdr:txBody>
    </xdr:sp>
    <xdr:clientData/>
  </xdr:twoCellAnchor>
  <xdr:twoCellAnchor editAs="absolute">
    <xdr:from>
      <xdr:col>14</xdr:col>
      <xdr:colOff>40341</xdr:colOff>
      <xdr:row>8</xdr:row>
      <xdr:rowOff>30256</xdr:rowOff>
    </xdr:from>
    <xdr:to>
      <xdr:col>16</xdr:col>
      <xdr:colOff>47065</xdr:colOff>
      <xdr:row>12</xdr:row>
      <xdr:rowOff>35859</xdr:rowOff>
    </xdr:to>
    <xdr:sp macro="" textlink="">
      <xdr:nvSpPr>
        <xdr:cNvPr id="5" name="ACRPT_CARD_OVERDU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423400" y="2235200"/>
          <a:ext cx="1485900" cy="1117600"/>
        </a:xfrm>
        <a:prstGeom prst="roundRect">
          <a:avLst/>
        </a:prstGeom>
        <a:solidFill>
          <a:srgbClr val="FFFFFF"/>
        </a:solidFill>
        <a:ln w="12700">
          <a:solidFill>
            <a:srgbClr val="C3CDD7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3741"/>
              </a:solidFill>
              <a:latin typeface="Aptos"/>
            </a:rPr>
            <a:t>OVERDUE</a:t>
          </a:r>
        </a:p>
        <a:p>
          <a:pPr algn="ctr"/>
          <a:r>
            <a:rPr lang="en-PH" sz="1700" b="1">
              <a:solidFill>
                <a:srgbClr val="214E79"/>
              </a:solidFill>
              <a:latin typeface="Aptos"/>
            </a:rPr>
            <a:t>0</a:t>
          </a:r>
        </a:p>
      </xdr:txBody>
    </xdr:sp>
    <xdr:clientData/>
  </xdr:twoCellAnchor>
  <xdr:twoCellAnchor editAs="absolute">
    <xdr:from>
      <xdr:col>2</xdr:col>
      <xdr:colOff>0</xdr:colOff>
      <xdr:row>13</xdr:row>
      <xdr:rowOff>38847</xdr:rowOff>
    </xdr:from>
    <xdr:to>
      <xdr:col>6</xdr:col>
      <xdr:colOff>7097</xdr:colOff>
      <xdr:row>17</xdr:row>
      <xdr:rowOff>44450</xdr:rowOff>
    </xdr:to>
    <xdr:sp macro="" textlink="">
      <xdr:nvSpPr>
        <xdr:cNvPr id="6" name="ACRPT_CARD_DUE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08000" y="3632200"/>
          <a:ext cx="2971800" cy="1117600"/>
        </a:xfrm>
        <a:prstGeom prst="roundRect">
          <a:avLst/>
        </a:prstGeom>
        <a:solidFill>
          <a:srgbClr val="FFFFFF"/>
        </a:solidFill>
        <a:ln w="12700">
          <a:solidFill>
            <a:srgbClr val="C3CDD7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3741"/>
              </a:solidFill>
              <a:latin typeface="Aptos"/>
            </a:rPr>
            <a:t>DUE / UPCOMING</a:t>
          </a:r>
        </a:p>
        <a:p>
          <a:pPr algn="ctr"/>
          <a:r>
            <a:rPr lang="en-PH" sz="1700" b="1">
              <a:solidFill>
                <a:srgbClr val="214E79"/>
              </a:solidFill>
              <a:latin typeface="Aptos"/>
            </a:rPr>
            <a:t>0</a:t>
          </a:r>
        </a:p>
      </xdr:txBody>
    </xdr:sp>
    <xdr:clientData/>
  </xdr:twoCellAnchor>
  <xdr:twoCellAnchor editAs="absolute">
    <xdr:from>
      <xdr:col>6</xdr:col>
      <xdr:colOff>7097</xdr:colOff>
      <xdr:row>13</xdr:row>
      <xdr:rowOff>38847</xdr:rowOff>
    </xdr:from>
    <xdr:to>
      <xdr:col>10</xdr:col>
      <xdr:colOff>26894</xdr:colOff>
      <xdr:row>17</xdr:row>
      <xdr:rowOff>44450</xdr:rowOff>
    </xdr:to>
    <xdr:sp macro="" textlink="">
      <xdr:nvSpPr>
        <xdr:cNvPr id="7" name="ACRPT_CARD_REPAIR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3479800" y="3632200"/>
          <a:ext cx="2971800" cy="1117600"/>
        </a:xfrm>
        <a:prstGeom prst="roundRect">
          <a:avLst/>
        </a:prstGeom>
        <a:solidFill>
          <a:srgbClr val="FFFFFF"/>
        </a:solidFill>
        <a:ln w="12700">
          <a:solidFill>
            <a:srgbClr val="C3CDD7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3741"/>
              </a:solidFill>
              <a:latin typeface="Aptos"/>
            </a:rPr>
            <a:t>UNDER REPAIR</a:t>
          </a:r>
        </a:p>
        <a:p>
          <a:pPr algn="ctr"/>
          <a:r>
            <a:rPr lang="en-PH" sz="1700" b="1">
              <a:solidFill>
                <a:srgbClr val="214E79"/>
              </a:solidFill>
              <a:latin typeface="Aptos"/>
            </a:rPr>
            <a:t>0</a:t>
          </a:r>
        </a:p>
      </xdr:txBody>
    </xdr:sp>
    <xdr:clientData/>
  </xdr:twoCellAnchor>
  <xdr:twoCellAnchor editAs="absolute">
    <xdr:from>
      <xdr:col>10</xdr:col>
      <xdr:colOff>26894</xdr:colOff>
      <xdr:row>13</xdr:row>
      <xdr:rowOff>38847</xdr:rowOff>
    </xdr:from>
    <xdr:to>
      <xdr:col>14</xdr:col>
      <xdr:colOff>40341</xdr:colOff>
      <xdr:row>17</xdr:row>
      <xdr:rowOff>44450</xdr:rowOff>
    </xdr:to>
    <xdr:sp macro="" textlink="">
      <xdr:nvSpPr>
        <xdr:cNvPr id="8" name="ACRPT_CARD_REPLA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6451600" y="3632200"/>
          <a:ext cx="2971800" cy="1117600"/>
        </a:xfrm>
        <a:prstGeom prst="roundRect">
          <a:avLst/>
        </a:prstGeom>
        <a:solidFill>
          <a:srgbClr val="FFFFFF"/>
        </a:solidFill>
        <a:ln w="12700">
          <a:solidFill>
            <a:srgbClr val="C3CDD7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3741"/>
              </a:solidFill>
              <a:latin typeface="Aptos"/>
            </a:rPr>
            <a:t>FOR REPLACEMENT</a:t>
          </a:r>
        </a:p>
        <a:p>
          <a:pPr algn="ctr"/>
          <a:r>
            <a:rPr lang="en-PH" sz="1700" b="1">
              <a:solidFill>
                <a:srgbClr val="214E79"/>
              </a:solidFill>
              <a:latin typeface="Aptos"/>
            </a:rPr>
            <a:t>0</a:t>
          </a:r>
        </a:p>
      </xdr:txBody>
    </xdr:sp>
    <xdr:clientData/>
  </xdr:twoCellAnchor>
  <xdr:twoCellAnchor editAs="absolute">
    <xdr:from>
      <xdr:col>14</xdr:col>
      <xdr:colOff>40341</xdr:colOff>
      <xdr:row>13</xdr:row>
      <xdr:rowOff>38847</xdr:rowOff>
    </xdr:from>
    <xdr:to>
      <xdr:col>16</xdr:col>
      <xdr:colOff>47065</xdr:colOff>
      <xdr:row>17</xdr:row>
      <xdr:rowOff>44450</xdr:rowOff>
    </xdr:to>
    <xdr:sp macro="" textlink="">
      <xdr:nvSpPr>
        <xdr:cNvPr id="9" name="ACRPT_CARD_COST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9423400" y="3632200"/>
          <a:ext cx="1485900" cy="1117600"/>
        </a:xfrm>
        <a:prstGeom prst="roundRect">
          <a:avLst/>
        </a:prstGeom>
        <a:solidFill>
          <a:srgbClr val="FFFFFF"/>
        </a:solidFill>
        <a:ln w="12700">
          <a:solidFill>
            <a:srgbClr val="C3CDD7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800" b="1">
              <a:solidFill>
                <a:srgbClr val="2D3741"/>
              </a:solidFill>
              <a:latin typeface="Aptos"/>
            </a:rPr>
            <a:t>TOTAL COST</a:t>
          </a:r>
        </a:p>
        <a:p>
          <a:pPr algn="ctr"/>
          <a:r>
            <a:rPr lang="en-PH" sz="1700" b="1">
              <a:solidFill>
                <a:srgbClr val="214E79"/>
              </a:solidFill>
              <a:latin typeface="Aptos"/>
            </a:rPr>
            <a:t>4,700.00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59765</xdr:rowOff>
    </xdr:from>
    <xdr:to>
      <xdr:col>8</xdr:col>
      <xdr:colOff>20171</xdr:colOff>
      <xdr:row>24</xdr:row>
      <xdr:rowOff>65368</xdr:rowOff>
    </xdr:to>
    <xdr:sp macro="AC_ReportSelectInventory" textlink="">
      <xdr:nvSpPr>
        <xdr:cNvPr id="10" name="ACRPT_BTN_INVENTORY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508000" y="5588000"/>
          <a:ext cx="4457700" cy="1117600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AIRCON INVENTORY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Complete list of registered aircon units</a:t>
          </a:r>
        </a:p>
      </xdr:txBody>
    </xdr:sp>
    <xdr:clientData/>
  </xdr:twoCellAnchor>
  <xdr:twoCellAnchor editAs="absolute">
    <xdr:from>
      <xdr:col>9</xdr:col>
      <xdr:colOff>29882</xdr:colOff>
      <xdr:row>20</xdr:row>
      <xdr:rowOff>59765</xdr:rowOff>
    </xdr:from>
    <xdr:to>
      <xdr:col>16</xdr:col>
      <xdr:colOff>47065</xdr:colOff>
      <xdr:row>24</xdr:row>
      <xdr:rowOff>65368</xdr:rowOff>
    </xdr:to>
    <xdr:sp macro="AC_ReportSelectDue" textlink="">
      <xdr:nvSpPr>
        <xdr:cNvPr id="11" name="ACRPT_BTN_DUE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708650" y="5588000"/>
          <a:ext cx="5200650" cy="1117600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DUE / UPCOMING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Units approaching scheduled maintenance</a:t>
          </a:r>
        </a:p>
      </xdr:txBody>
    </xdr:sp>
    <xdr:clientData/>
  </xdr:twoCellAnchor>
  <xdr:twoCellAnchor editAs="absolute">
    <xdr:from>
      <xdr:col>2</xdr:col>
      <xdr:colOff>0</xdr:colOff>
      <xdr:row>25</xdr:row>
      <xdr:rowOff>74706</xdr:rowOff>
    </xdr:from>
    <xdr:to>
      <xdr:col>8</xdr:col>
      <xdr:colOff>20171</xdr:colOff>
      <xdr:row>29</xdr:row>
      <xdr:rowOff>86659</xdr:rowOff>
    </xdr:to>
    <xdr:sp macro="AC_ReportSelectOverdue" textlink="">
      <xdr:nvSpPr>
        <xdr:cNvPr id="12" name="ACRPT_BTN_OVERDUE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508000" y="6985000"/>
          <a:ext cx="4457700" cy="1117600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OVERDUE MAINTENANCE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Units with missed maintenance schedules</a:t>
          </a:r>
        </a:p>
      </xdr:txBody>
    </xdr:sp>
    <xdr:clientData/>
  </xdr:twoCellAnchor>
  <xdr:twoCellAnchor editAs="absolute">
    <xdr:from>
      <xdr:col>9</xdr:col>
      <xdr:colOff>29882</xdr:colOff>
      <xdr:row>25</xdr:row>
      <xdr:rowOff>74706</xdr:rowOff>
    </xdr:from>
    <xdr:to>
      <xdr:col>16</xdr:col>
      <xdr:colOff>47065</xdr:colOff>
      <xdr:row>29</xdr:row>
      <xdr:rowOff>86659</xdr:rowOff>
    </xdr:to>
    <xdr:sp macro="AC_ReportSelectHistory" textlink="">
      <xdr:nvSpPr>
        <xdr:cNvPr id="13" name="ACRPT_BTN_HISTORY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5708650" y="6985000"/>
          <a:ext cx="5200650" cy="1117600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MAINTENANCE HISTORY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Complete service and repair history</a:t>
          </a:r>
        </a:p>
      </xdr:txBody>
    </xdr:sp>
    <xdr:clientData/>
  </xdr:twoCellAnchor>
  <xdr:twoCellAnchor editAs="absolute">
    <xdr:from>
      <xdr:col>2</xdr:col>
      <xdr:colOff>0</xdr:colOff>
      <xdr:row>30</xdr:row>
      <xdr:rowOff>83297</xdr:rowOff>
    </xdr:from>
    <xdr:to>
      <xdr:col>8</xdr:col>
      <xdr:colOff>20171</xdr:colOff>
      <xdr:row>34</xdr:row>
      <xdr:rowOff>101600</xdr:rowOff>
    </xdr:to>
    <xdr:sp macro="AC_ReportSelectBuilding" textlink="">
      <xdr:nvSpPr>
        <xdr:cNvPr id="14" name="ACRPT_BTN_BUILDI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508000" y="8382000"/>
          <a:ext cx="4457700" cy="1117600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BUILDING SUMMARY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Aircon quantity and condition per building</a:t>
          </a:r>
        </a:p>
      </xdr:txBody>
    </xdr:sp>
    <xdr:clientData/>
  </xdr:twoCellAnchor>
  <xdr:twoCellAnchor editAs="absolute">
    <xdr:from>
      <xdr:col>9</xdr:col>
      <xdr:colOff>29882</xdr:colOff>
      <xdr:row>30</xdr:row>
      <xdr:rowOff>83297</xdr:rowOff>
    </xdr:from>
    <xdr:to>
      <xdr:col>16</xdr:col>
      <xdr:colOff>47065</xdr:colOff>
      <xdr:row>34</xdr:row>
      <xdr:rowOff>101600</xdr:rowOff>
    </xdr:to>
    <xdr:sp macro="AC_ReportSelectBrand" textlink="">
      <xdr:nvSpPr>
        <xdr:cNvPr id="15" name="ACRPT_BTN_BRAND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5708650" y="8382000"/>
          <a:ext cx="5200650" cy="1117600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BRAND SUMMARY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Quantity of units grouped by manufacturer</a:t>
          </a:r>
        </a:p>
      </xdr:txBody>
    </xdr:sp>
    <xdr:clientData/>
  </xdr:twoCellAnchor>
  <xdr:twoCellAnchor editAs="absolute">
    <xdr:from>
      <xdr:col>2</xdr:col>
      <xdr:colOff>0</xdr:colOff>
      <xdr:row>35</xdr:row>
      <xdr:rowOff>104588</xdr:rowOff>
    </xdr:from>
    <xdr:to>
      <xdr:col>16</xdr:col>
      <xdr:colOff>47065</xdr:colOff>
      <xdr:row>39</xdr:row>
      <xdr:rowOff>116541</xdr:rowOff>
    </xdr:to>
    <xdr:sp macro="AC_ReportSelectCost" textlink="">
      <xdr:nvSpPr>
        <xdr:cNvPr id="16" name="ACRPT_BTN_COST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508000" y="9779000"/>
          <a:ext cx="10401300" cy="1117600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MAINTENANCE COST SUMMARY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Maintenance and repair expenditure records</a:t>
          </a:r>
        </a:p>
      </xdr:txBody>
    </xdr:sp>
    <xdr:clientData/>
  </xdr:twoCellAnchor>
  <xdr:twoCellAnchor editAs="absolute">
    <xdr:from>
      <xdr:col>1</xdr:col>
      <xdr:colOff>253999</xdr:colOff>
      <xdr:row>52</xdr:row>
      <xdr:rowOff>155388</xdr:rowOff>
    </xdr:from>
    <xdr:to>
      <xdr:col>7</xdr:col>
      <xdr:colOff>154098</xdr:colOff>
      <xdr:row>56</xdr:row>
      <xdr:rowOff>160991</xdr:rowOff>
    </xdr:to>
    <xdr:sp macro="AC_PreviewSelectedReport" textlink="">
      <xdr:nvSpPr>
        <xdr:cNvPr id="17" name="ACRPT_BTN_PREVIEW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07999" y="14778531"/>
          <a:ext cx="3873385" cy="113046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PREVIEW REPORT</a:t>
          </a:r>
        </a:p>
      </xdr:txBody>
    </xdr:sp>
    <xdr:clientData/>
  </xdr:twoCellAnchor>
  <xdr:twoCellAnchor editAs="absolute">
    <xdr:from>
      <xdr:col>7</xdr:col>
      <xdr:colOff>289974</xdr:colOff>
      <xdr:row>52</xdr:row>
      <xdr:rowOff>155388</xdr:rowOff>
    </xdr:from>
    <xdr:to>
      <xdr:col>11</xdr:col>
      <xdr:colOff>225770</xdr:colOff>
      <xdr:row>56</xdr:row>
      <xdr:rowOff>160991</xdr:rowOff>
    </xdr:to>
    <xdr:sp macro="AC_RefreshReportsDashboard" textlink="">
      <xdr:nvSpPr>
        <xdr:cNvPr id="19" name="ACRPT_BTN_REFRESH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4517260" y="14778531"/>
          <a:ext cx="2911224" cy="113046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REFRESH</a:t>
          </a:r>
        </a:p>
      </xdr:txBody>
    </xdr:sp>
    <xdr:clientData/>
  </xdr:twoCellAnchor>
  <xdr:twoCellAnchor editAs="absolute">
    <xdr:from>
      <xdr:col>11</xdr:col>
      <xdr:colOff>372625</xdr:colOff>
      <xdr:row>52</xdr:row>
      <xdr:rowOff>155388</xdr:rowOff>
    </xdr:from>
    <xdr:to>
      <xdr:col>15</xdr:col>
      <xdr:colOff>308420</xdr:colOff>
      <xdr:row>56</xdr:row>
      <xdr:rowOff>160991</xdr:rowOff>
    </xdr:to>
    <xdr:sp macro="AC_OpenHome" textlink="">
      <xdr:nvSpPr>
        <xdr:cNvPr id="20" name="ACRPT_BTN_HOME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7575339" y="14778531"/>
          <a:ext cx="2911224" cy="113046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67</xdr:row>
      <xdr:rowOff>111125</xdr:rowOff>
    </xdr:from>
    <xdr:to>
      <xdr:col>6</xdr:col>
      <xdr:colOff>0</xdr:colOff>
      <xdr:row>71</xdr:row>
      <xdr:rowOff>111125</xdr:rowOff>
    </xdr:to>
    <xdr:sp macro="AC_ReportViewBack" textlink="">
      <xdr:nvSpPr>
        <xdr:cNvPr id="2" name="ACVIEW_BTN_BACK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08000" y="16624300"/>
          <a:ext cx="4368800" cy="10668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BACK TO REPORTS</a:t>
          </a:r>
        </a:p>
      </xdr:txBody>
    </xdr:sp>
    <xdr:clientData/>
  </xdr:twoCellAnchor>
  <xdr:twoCellAnchor editAs="absolute">
    <xdr:from>
      <xdr:col>6</xdr:col>
      <xdr:colOff>0</xdr:colOff>
      <xdr:row>67</xdr:row>
      <xdr:rowOff>111125</xdr:rowOff>
    </xdr:from>
    <xdr:to>
      <xdr:col>10</xdr:col>
      <xdr:colOff>0</xdr:colOff>
      <xdr:row>71</xdr:row>
      <xdr:rowOff>111125</xdr:rowOff>
    </xdr:to>
    <xdr:sp macro="AC_RefreshCurrentReportView" textlink="">
      <xdr:nvSpPr>
        <xdr:cNvPr id="3" name="ACVIEW_BTN_REFRESH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876800" y="16624300"/>
          <a:ext cx="4089400" cy="10668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REFRESH REPORT</a:t>
          </a:r>
        </a:p>
      </xdr:txBody>
    </xdr:sp>
    <xdr:clientData/>
  </xdr:twoCellAnchor>
  <xdr:twoCellAnchor editAs="absolute">
    <xdr:from>
      <xdr:col>10</xdr:col>
      <xdr:colOff>0</xdr:colOff>
      <xdr:row>67</xdr:row>
      <xdr:rowOff>111125</xdr:rowOff>
    </xdr:from>
    <xdr:to>
      <xdr:col>13</xdr:col>
      <xdr:colOff>0</xdr:colOff>
      <xdr:row>71</xdr:row>
      <xdr:rowOff>111125</xdr:rowOff>
    </xdr:to>
    <xdr:sp macro="AC_ReportViewPrintPreview" textlink="">
      <xdr:nvSpPr>
        <xdr:cNvPr id="4" name="ACVIEW_BTN_PRINT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966200" y="16624300"/>
          <a:ext cx="3067050" cy="10668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PRINT</a:t>
          </a:r>
        </a:p>
      </xdr:txBody>
    </xdr:sp>
    <xdr:clientData/>
  </xdr:twoCellAnchor>
  <xdr:twoCellAnchor editAs="absolute">
    <xdr:from>
      <xdr:col>13</xdr:col>
      <xdr:colOff>0</xdr:colOff>
      <xdr:row>67</xdr:row>
      <xdr:rowOff>111125</xdr:rowOff>
    </xdr:from>
    <xdr:to>
      <xdr:col>16</xdr:col>
      <xdr:colOff>0</xdr:colOff>
      <xdr:row>71</xdr:row>
      <xdr:rowOff>111125</xdr:rowOff>
    </xdr:to>
    <xdr:sp macro="AC_ReportViewPDFNotReady" textlink="">
      <xdr:nvSpPr>
        <xdr:cNvPr id="5" name="ACVIEW_BTN_PDF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2033250" y="16624300"/>
          <a:ext cx="3067050" cy="1066800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EXPORT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104640</xdr:colOff>
      <xdr:row>8</xdr:row>
      <xdr:rowOff>0</xdr:rowOff>
    </xdr:from>
    <xdr:to>
      <xdr:col>16</xdr:col>
      <xdr:colOff>802021</xdr:colOff>
      <xdr:row>12</xdr:row>
      <xdr:rowOff>0</xdr:rowOff>
    </xdr:to>
    <xdr:sp macro="AC_SettingsSelectACTypes" textlink="">
      <xdr:nvSpPr>
        <xdr:cNvPr id="2" name="ACSET_CARD_ACTYP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540913" y="2216727"/>
          <a:ext cx="3664563" cy="1108364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AC TYPES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Air-conditioning unit classifications</a:t>
          </a:r>
        </a:p>
      </xdr:txBody>
    </xdr:sp>
    <xdr:clientData/>
  </xdr:twoCellAnchor>
  <xdr:twoCellAnchor editAs="absolute">
    <xdr:from>
      <xdr:col>17</xdr:col>
      <xdr:colOff>802021</xdr:colOff>
      <xdr:row>8</xdr:row>
      <xdr:rowOff>0</xdr:rowOff>
    </xdr:from>
    <xdr:to>
      <xdr:col>22</xdr:col>
      <xdr:colOff>734786</xdr:colOff>
      <xdr:row>12</xdr:row>
      <xdr:rowOff>0</xdr:rowOff>
    </xdr:to>
    <xdr:sp macro="AC_SettingsSelectUnitStatus" textlink="">
      <xdr:nvSpPr>
        <xdr:cNvPr id="3" name="ACSET_CARD_STATUS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0163748" y="2216727"/>
          <a:ext cx="4643311" cy="1108364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UNIT STATUS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Operational and maintenance conditions</a:t>
          </a:r>
        </a:p>
      </xdr:txBody>
    </xdr:sp>
    <xdr:clientData/>
  </xdr:twoCellAnchor>
  <xdr:twoCellAnchor editAs="absolute">
    <xdr:from>
      <xdr:col>12</xdr:col>
      <xdr:colOff>104640</xdr:colOff>
      <xdr:row>13</xdr:row>
      <xdr:rowOff>0</xdr:rowOff>
    </xdr:from>
    <xdr:to>
      <xdr:col>16</xdr:col>
      <xdr:colOff>802021</xdr:colOff>
      <xdr:row>17</xdr:row>
      <xdr:rowOff>0</xdr:rowOff>
    </xdr:to>
    <xdr:sp macro="AC_SettingsSelectMaintenanceActivities" textlink="">
      <xdr:nvSpPr>
        <xdr:cNvPr id="4" name="ACSET_CARD_ACTIVITY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5540913" y="3602182"/>
          <a:ext cx="3664563" cy="1108363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MAINTENANCE ACTIVITIES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Cleaning, repair and service categories</a:t>
          </a:r>
        </a:p>
      </xdr:txBody>
    </xdr:sp>
    <xdr:clientData/>
  </xdr:twoCellAnchor>
  <xdr:twoCellAnchor editAs="absolute">
    <xdr:from>
      <xdr:col>17</xdr:col>
      <xdr:colOff>802021</xdr:colOff>
      <xdr:row>13</xdr:row>
      <xdr:rowOff>0</xdr:rowOff>
    </xdr:from>
    <xdr:to>
      <xdr:col>22</xdr:col>
      <xdr:colOff>734786</xdr:colOff>
      <xdr:row>17</xdr:row>
      <xdr:rowOff>0</xdr:rowOff>
    </xdr:to>
    <xdr:sp macro="AC_SettingsSelectInverterType" textlink="">
      <xdr:nvSpPr>
        <xdr:cNvPr id="5" name="ACSET_CARD_INVERTE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20163748" y="3602182"/>
          <a:ext cx="4643311" cy="1108363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INVERTER TYPE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Inverter and non-inverter classifications</a:t>
          </a:r>
        </a:p>
      </xdr:txBody>
    </xdr:sp>
    <xdr:clientData/>
  </xdr:twoCellAnchor>
  <xdr:twoCellAnchor editAs="absolute">
    <xdr:from>
      <xdr:col>12</xdr:col>
      <xdr:colOff>104640</xdr:colOff>
      <xdr:row>18</xdr:row>
      <xdr:rowOff>0</xdr:rowOff>
    </xdr:from>
    <xdr:to>
      <xdr:col>22</xdr:col>
      <xdr:colOff>734786</xdr:colOff>
      <xdr:row>22</xdr:row>
      <xdr:rowOff>0</xdr:rowOff>
    </xdr:to>
    <xdr:sp macro="AC_SettingsSelectBrands" textlink="">
      <xdr:nvSpPr>
        <xdr:cNvPr id="6" name="ACSET_CARD_BRAND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5540913" y="4987636"/>
          <a:ext cx="9266146" cy="1108364"/>
        </a:xfrm>
        <a:prstGeom prst="roundRect">
          <a:avLst/>
        </a:prstGeom>
        <a:solidFill>
          <a:srgbClr val="FFFFFF"/>
        </a:solidFill>
        <a:ln w="12700">
          <a:solidFill>
            <a:srgbClr val="B9C3CD"/>
          </a:solidFill>
        </a:ln>
        <a:effectLst>
          <a:outerShdw blurRad="63500" dist="28398" dir="3806086" rotWithShape="0">
            <a:scrgbClr r="0" g="0" b="0">
              <a:alpha val="12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2D3741"/>
              </a:solidFill>
              <a:latin typeface="Aptos"/>
            </a:rPr>
            <a:t>AIRCON BRANDS</a:t>
          </a:r>
        </a:p>
        <a:p>
          <a:pPr algn="ctr"/>
          <a:r>
            <a:rPr lang="en-PH" sz="800">
              <a:solidFill>
                <a:srgbClr val="646E78"/>
              </a:solidFill>
              <a:latin typeface="Aptos"/>
            </a:rPr>
            <a:t>Registered air-conditioning manufacturers</a:t>
          </a:r>
        </a:p>
      </xdr:txBody>
    </xdr:sp>
    <xdr:clientData/>
  </xdr:twoCellAnchor>
  <xdr:twoCellAnchor editAs="absolute">
    <xdr:from>
      <xdr:col>12</xdr:col>
      <xdr:colOff>107441</xdr:colOff>
      <xdr:row>33</xdr:row>
      <xdr:rowOff>198906</xdr:rowOff>
    </xdr:from>
    <xdr:to>
      <xdr:col>17</xdr:col>
      <xdr:colOff>561549</xdr:colOff>
      <xdr:row>37</xdr:row>
      <xdr:rowOff>49291</xdr:rowOff>
    </xdr:to>
    <xdr:sp macro="AC_SettingsAddItem" textlink="">
      <xdr:nvSpPr>
        <xdr:cNvPr id="7" name="ACSET_BTN_ADD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5543714" y="8915724"/>
          <a:ext cx="4379562" cy="866385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ADD ITEM</a:t>
          </a:r>
        </a:p>
      </xdr:txBody>
    </xdr:sp>
    <xdr:clientData/>
  </xdr:twoCellAnchor>
  <xdr:twoCellAnchor editAs="absolute">
    <xdr:from>
      <xdr:col>17</xdr:col>
      <xdr:colOff>866838</xdr:colOff>
      <xdr:row>33</xdr:row>
      <xdr:rowOff>198906</xdr:rowOff>
    </xdr:from>
    <xdr:to>
      <xdr:col>22</xdr:col>
      <xdr:colOff>597711</xdr:colOff>
      <xdr:row>37</xdr:row>
      <xdr:rowOff>49291</xdr:rowOff>
    </xdr:to>
    <xdr:sp macro="AC_SettingsRemoveItem" textlink="">
      <xdr:nvSpPr>
        <xdr:cNvPr id="8" name="ACSET_BTN_DELETE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0228565" y="8915724"/>
          <a:ext cx="4441419" cy="866385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REMOVE ITEM</a:t>
          </a:r>
        </a:p>
      </xdr:txBody>
    </xdr:sp>
    <xdr:clientData/>
  </xdr:twoCellAnchor>
  <xdr:twoCellAnchor editAs="absolute">
    <xdr:from>
      <xdr:col>12</xdr:col>
      <xdr:colOff>107441</xdr:colOff>
      <xdr:row>37</xdr:row>
      <xdr:rowOff>227673</xdr:rowOff>
    </xdr:from>
    <xdr:to>
      <xdr:col>17</xdr:col>
      <xdr:colOff>561549</xdr:colOff>
      <xdr:row>40</xdr:row>
      <xdr:rowOff>254007</xdr:rowOff>
    </xdr:to>
    <xdr:sp macro="AC_SettingsRefresh" textlink="">
      <xdr:nvSpPr>
        <xdr:cNvPr id="9" name="ACSET_BTN_REFRESH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5543714" y="9960491"/>
          <a:ext cx="4379562" cy="857607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REFRESH</a:t>
          </a:r>
        </a:p>
      </xdr:txBody>
    </xdr:sp>
    <xdr:clientData/>
  </xdr:twoCellAnchor>
  <xdr:twoCellAnchor editAs="absolute">
    <xdr:from>
      <xdr:col>12</xdr:col>
      <xdr:colOff>86695</xdr:colOff>
      <xdr:row>41</xdr:row>
      <xdr:rowOff>127887</xdr:rowOff>
    </xdr:from>
    <xdr:to>
      <xdr:col>22</xdr:col>
      <xdr:colOff>653143</xdr:colOff>
      <xdr:row>44</xdr:row>
      <xdr:rowOff>154221</xdr:rowOff>
    </xdr:to>
    <xdr:sp macro="AC_OpenHome" textlink="">
      <xdr:nvSpPr>
        <xdr:cNvPr id="10" name="ACSET_BTN_HOME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5522968" y="10969069"/>
          <a:ext cx="9202448" cy="857607"/>
        </a:xfrm>
        <a:prstGeom prst="roundRect">
          <a:avLst/>
        </a:prstGeom>
        <a:solidFill>
          <a:srgbClr val="FFFFFF"/>
        </a:solidFill>
        <a:ln w="12700">
          <a:solidFill>
            <a:srgbClr val="B4BEC8"/>
          </a:solidFill>
        </a:ln>
        <a:effectLst>
          <a:outerShdw blurRad="63500" dist="28398" dir="3806086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900" b="1">
              <a:solidFill>
                <a:srgbClr val="214E79"/>
              </a:solidFill>
              <a:latin typeface="Aptos"/>
            </a:rPr>
            <a:t>HOME</a:t>
          </a:r>
        </a:p>
      </xdr:txBody>
    </xdr:sp>
    <xdr:clientData/>
  </xdr:twoCellAnchor>
  <xdr:twoCellAnchor editAs="absolute">
    <xdr:from>
      <xdr:col>13</xdr:col>
      <xdr:colOff>855797</xdr:colOff>
      <xdr:row>30</xdr:row>
      <xdr:rowOff>69103</xdr:rowOff>
    </xdr:from>
    <xdr:to>
      <xdr:col>17</xdr:col>
      <xdr:colOff>695927</xdr:colOff>
      <xdr:row>31</xdr:row>
      <xdr:rowOff>134470</xdr:rowOff>
    </xdr:to>
    <xdr:sp macro="" textlink="">
      <xdr:nvSpPr>
        <xdr:cNvPr id="14" name="ACSET_BTN_PREVIOUS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16546070" y="8093194"/>
          <a:ext cx="3511584" cy="296276"/>
        </a:xfrm>
        <a:prstGeom prst="roundRect">
          <a:avLst/>
        </a:prstGeom>
        <a:solidFill>
          <a:srgbClr val="F2F4F6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700" b="1">
              <a:solidFill>
                <a:srgbClr val="A5AAAF"/>
              </a:solidFill>
              <a:latin typeface="Aptos"/>
            </a:rPr>
            <a:t>&lt;  PREVIOUS</a:t>
          </a:r>
        </a:p>
      </xdr:txBody>
    </xdr:sp>
    <xdr:clientData/>
  </xdr:twoCellAnchor>
  <xdr:twoCellAnchor editAs="absolute">
    <xdr:from>
      <xdr:col>17</xdr:col>
      <xdr:colOff>752716</xdr:colOff>
      <xdr:row>30</xdr:row>
      <xdr:rowOff>69103</xdr:rowOff>
    </xdr:from>
    <xdr:to>
      <xdr:col>21</xdr:col>
      <xdr:colOff>447168</xdr:colOff>
      <xdr:row>31</xdr:row>
      <xdr:rowOff>134470</xdr:rowOff>
    </xdr:to>
    <xdr:sp macro="AC_SettingsNextPage" textlink="">
      <xdr:nvSpPr>
        <xdr:cNvPr id="15" name="ACSET_BTN_NEXT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20114443" y="8093194"/>
          <a:ext cx="3527543" cy="296276"/>
        </a:xfrm>
        <a:prstGeom prst="roundRect">
          <a:avLst/>
        </a:prstGeom>
        <a:solidFill>
          <a:srgbClr val="F8FAFC"/>
        </a:solidFill>
        <a:ln w="9525">
          <a:solidFill>
            <a:srgbClr val="B9C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700" b="1">
              <a:solidFill>
                <a:srgbClr val="255682"/>
              </a:solidFill>
              <a:latin typeface="Aptos"/>
            </a:rPr>
            <a:t>NEXT  &gt;</a:t>
          </a:r>
        </a:p>
      </xdr:txBody>
    </xdr:sp>
    <xdr:clientData/>
  </xdr:twoCellAnchor>
  <xdr:twoCellAnchor>
    <xdr:from>
      <xdr:col>17</xdr:col>
      <xdr:colOff>859693</xdr:colOff>
      <xdr:row>37</xdr:row>
      <xdr:rowOff>220516</xdr:rowOff>
    </xdr:from>
    <xdr:to>
      <xdr:col>22</xdr:col>
      <xdr:colOff>593134</xdr:colOff>
      <xdr:row>40</xdr:row>
      <xdr:rowOff>244240</xdr:rowOff>
    </xdr:to>
    <xdr:sp macro="AC_SettingsEditSystemSettings" textlink="">
      <xdr:nvSpPr>
        <xdr:cNvPr id="11" name="btnSystemSettings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20221420" y="9953334"/>
          <a:ext cx="4443987" cy="854997"/>
        </a:xfrm>
        <a:prstGeom prst="roundRect">
          <a:avLst/>
        </a:prstGeom>
        <a:solidFill>
          <a:srgbClr val="FFFFFF"/>
        </a:solidFill>
        <a:ln w="10160">
          <a:solidFill>
            <a:srgbClr val="CDD7E1"/>
          </a:solidFill>
        </a:ln>
        <a:effectLst>
          <a:outerShdw blurRad="50800" dist="28398" dir="3806086" rotWithShape="0">
            <a:scrgbClr r="0" g="0" b="0">
              <a:alpha val="25000"/>
            </a:sc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n-PH" sz="900" b="1">
              <a:solidFill>
                <a:srgbClr val="23415F"/>
              </a:solidFill>
              <a:latin typeface="Aptos"/>
            </a:rPr>
            <a:t>SYSTEM SETTINGS</a:t>
          </a:r>
        </a:p>
        <a:p>
          <a:pPr algn="ctr"/>
          <a:r>
            <a:rPr lang="en-PH" sz="800">
              <a:solidFill>
                <a:srgbClr val="23415F"/>
              </a:solidFill>
              <a:latin typeface="Aptos"/>
            </a:rPr>
            <a:t>Maintenance schedule and application preferences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28D2BC-CE8F-4BA9-8CFA-15C949E81AB2}" name="tblACUnits" displayName="tblACUnits" ref="A55:T74" totalsRowShown="0" headerRowDxfId="9" dataDxfId="8">
  <autoFilter ref="A55:T74" xr:uid="{D130C8B7-AAB6-4A84-93B4-EE7CAE4BD305}"/>
  <tableColumns count="20">
    <tableColumn id="1" xr3:uid="{E4B78627-E469-471E-AECF-689EAD330DBA}" name="UNIT_ID" dataDxfId="29"/>
    <tableColumn id="2" xr3:uid="{E6BA5423-2F04-4AC4-9843-A9BBD166DF33}" name="BUILDING_ID" dataDxfId="28"/>
    <tableColumn id="3" xr3:uid="{B10B590F-4CCA-45D0-B2DC-31088F0A9BE8}" name="BUILDING_NAME" dataDxfId="27"/>
    <tableColumn id="4" xr3:uid="{07E6465C-D1C5-480F-B7F0-1D7E774717B6}" name="FLOOR" dataDxfId="26"/>
    <tableColumn id="5" xr3:uid="{CE00C416-923E-4F6E-B606-C25E97529D50}" name="ROOM_AREA" dataDxfId="25"/>
    <tableColumn id="6" xr3:uid="{D9F910C4-0A38-4D1F-9471-BAAB1BFF890E}" name="BRAND" dataDxfId="24"/>
    <tableColumn id="7" xr3:uid="{1924DAD3-E146-4E8F-9922-4764B7C0EB34}" name="MODEL" dataDxfId="23"/>
    <tableColumn id="8" xr3:uid="{F3C3455E-0920-4F74-9097-30A0F20EA0F2}" name="SERIAL_NO" dataDxfId="22"/>
    <tableColumn id="9" xr3:uid="{8A35FEAA-D48E-4561-A4C5-4400A952E7DF}" name="AC_TYPE" dataDxfId="21"/>
    <tableColumn id="10" xr3:uid="{1F663583-5618-43D1-96D7-24A08C3FDD54}" name="CAPACITY" dataDxfId="20"/>
    <tableColumn id="11" xr3:uid="{56BBD745-E103-4607-9EFE-611C05D3D91F}" name="CAPACITY_UNIT" dataDxfId="19"/>
    <tableColumn id="12" xr3:uid="{CC68C8B7-203E-4B02-AE6A-C5548BBAF1DD}" name="INVERTER_TYPE" dataDxfId="18"/>
    <tableColumn id="13" xr3:uid="{14261671-9D78-461E-8C8B-AE9C58B0F800}" name="INSTALLATION_DATE" dataDxfId="17"/>
    <tableColumn id="14" xr3:uid="{31BA5835-A598-405D-B5D9-456DD326BA62}" name="STATUS" dataDxfId="16"/>
    <tableColumn id="15" xr3:uid="{2D2C52BE-5AD8-4A44-BF53-33143D621E87}" name="LAST_CLEANING" dataDxfId="15"/>
    <tableColumn id="16" xr3:uid="{FFA912E7-C37A-492B-81D0-85DA7A169770}" name="LAST_PM" dataDxfId="14"/>
    <tableColumn id="17" xr3:uid="{026B2C96-C953-448F-AFC1-644331BE0BD9}" name="LAST_REPAIR" dataDxfId="13"/>
    <tableColumn id="18" xr3:uid="{9C3DFF85-659F-45E4-8574-9F708B4E7639}" name="NEXT_MAINTENANCE" dataDxfId="12"/>
    <tableColumn id="19" xr3:uid="{211A411F-5722-4C2D-A734-30E6CBE23E57}" name="DATE_ADDED" dataDxfId="11"/>
    <tableColumn id="20" xr3:uid="{FA64BAEA-F9C0-4105-B475-85C4BBDD32E5}" name="REMARKS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550A253-94F0-4A30-A341-615D3F2ECF47}" name="tblBuildings" displayName="tblBuildings" ref="A50:F66" totalsRowShown="0" headerRowDxfId="1" dataDxfId="0">
  <autoFilter ref="A50:F66" xr:uid="{DE66E71B-D8C2-4233-A85E-05E7979F76B1}"/>
  <tableColumns count="6">
    <tableColumn id="1" xr3:uid="{3A3FB6AA-CC0F-47F2-B4BD-6F9A935BC133}" name="BUILDING_ID" dataDxfId="7"/>
    <tableColumn id="2" xr3:uid="{6CBC5538-E78E-443D-A8DF-8225A031160C}" name="BUILDING_NAME" dataDxfId="6"/>
    <tableColumn id="3" xr3:uid="{807E58C3-A70C-44E0-9A5A-1FE64C10AD4B}" name="LOCATION" dataDxfId="5"/>
    <tableColumn id="4" xr3:uid="{E360911C-553D-4C4E-BA45-962D366779C9}" name="STATUS" dataDxfId="4"/>
    <tableColumn id="5" xr3:uid="{2D8E4C3C-AD6B-4CA4-9972-726048E30108}" name="DATE_ADDED" dataDxfId="3"/>
    <tableColumn id="6" xr3:uid="{85436D17-4D4B-4B32-B2FF-8ABF4D3C2632}" name="REMARKS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1B81E0-5698-459A-9F90-AF925F769639}" name="tblMaintenance" displayName="tblMaintenance" ref="A60:N80" totalsRowShown="0" headerRowDxfId="31" dataDxfId="30">
  <autoFilter ref="A60:N80" xr:uid="{2F265F4B-A1D8-4D5B-AC81-64ECA4865134}"/>
  <tableColumns count="14">
    <tableColumn id="1" xr3:uid="{700DBF32-929A-4841-A19A-0E0DE892E63C}" name="MAINT_ID" dataDxfId="45"/>
    <tableColumn id="2" xr3:uid="{EEA0DBD1-00F9-4662-981F-D1AB6CE38E5A}" name="UNIT_ID" dataDxfId="44"/>
    <tableColumn id="3" xr3:uid="{C95C6E13-3AB6-460D-A36C-76CAFCB41EEF}" name="BUILDING" dataDxfId="43"/>
    <tableColumn id="4" xr3:uid="{6935B624-B620-4591-AC4D-247BF7D32C25}" name="ROOM_AREA" dataDxfId="42"/>
    <tableColumn id="5" xr3:uid="{59628C30-09DD-44A8-8F51-5900896A505C}" name="DATE" dataDxfId="41"/>
    <tableColumn id="6" xr3:uid="{66D0BF83-E43E-4EFD-AE82-91BF58958B49}" name="ACTIVITY_TYPE" dataDxfId="40"/>
    <tableColumn id="7" xr3:uid="{063BBD31-8B8E-4105-8E4E-E3268476ACF6}" name="PROBLEM_FINDING" dataDxfId="39"/>
    <tableColumn id="8" xr3:uid="{3EBC1F07-427B-4078-8F8B-5B259ABF0910}" name="ACTION_TAKEN" dataDxfId="38"/>
    <tableColumn id="9" xr3:uid="{FF5A319F-9983-43EF-807E-50B2F376C0F5}" name="PARTS_REPLACED" dataDxfId="37"/>
    <tableColumn id="10" xr3:uid="{2EE3655D-C7EE-492A-9742-FC2D61A3FD81}" name="TECHNICIAN_CONTRACTOR" dataDxfId="36"/>
    <tableColumn id="11" xr3:uid="{CF880445-88A0-43E1-89DF-BFE80484360F}" name="COST" dataDxfId="35"/>
    <tableColumn id="12" xr3:uid="{AE8CCE4D-6CD3-4EF8-870F-4F7251995BC1}" name="NEXT_DUE_DATE" dataDxfId="34"/>
    <tableColumn id="13" xr3:uid="{1D480FCD-8AE9-4309-A109-50306D4FA599}" name="STATUS" dataDxfId="33"/>
    <tableColumn id="14" xr3:uid="{14EB1BD0-9D9B-40D5-B561-D64F2093E286}" name="REMARKS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28DBD-BE4A-4AE4-AC0A-A67826005D24}">
  <sheetPr codeName="Sheet2"/>
  <dimension ref="C1:P40"/>
  <sheetViews>
    <sheetView showGridLines="0" showRowColHeaders="0" zoomScale="85" zoomScaleNormal="85" workbookViewId="0"/>
  </sheetViews>
  <sheetFormatPr defaultRowHeight="14.5"/>
  <cols>
    <col min="1" max="2" width="3.6328125" style="34" customWidth="1"/>
    <col min="3" max="6" width="13.6328125" style="34" customWidth="1"/>
    <col min="7" max="7" width="3.6328125" style="34" customWidth="1"/>
    <col min="8" max="11" width="13.6328125" style="34" customWidth="1"/>
    <col min="12" max="12" width="3.6328125" style="34" customWidth="1"/>
    <col min="13" max="16" width="13.6328125" style="34" customWidth="1"/>
    <col min="17" max="17" width="3.6328125" style="34" customWidth="1"/>
    <col min="18" max="16384" width="8.7265625" style="34"/>
  </cols>
  <sheetData>
    <row r="1" spans="3:16" ht="22" customHeight="1"/>
    <row r="2" spans="3:16" ht="22" customHeight="1">
      <c r="C2" s="35" t="s">
        <v>70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</row>
    <row r="3" spans="3:16" ht="22" customHeight="1"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</row>
    <row r="4" spans="3:16" ht="22" customHeight="1"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</row>
    <row r="5" spans="3:16" ht="22" customHeight="1">
      <c r="C5" s="36" t="s">
        <v>71</v>
      </c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</row>
    <row r="6" spans="3:16" ht="22" customHeight="1"/>
    <row r="7" spans="3:16" ht="22" customHeight="1">
      <c r="C7" s="37" t="s">
        <v>72</v>
      </c>
      <c r="D7" s="37"/>
      <c r="E7" s="37"/>
      <c r="F7" s="37"/>
      <c r="H7" s="37" t="s">
        <v>73</v>
      </c>
      <c r="I7" s="37"/>
      <c r="J7" s="37"/>
      <c r="K7" s="37"/>
      <c r="M7" s="37" t="s">
        <v>74</v>
      </c>
      <c r="N7" s="37"/>
      <c r="O7" s="37"/>
      <c r="P7" s="37"/>
    </row>
    <row r="8" spans="3:16" ht="22" customHeight="1">
      <c r="C8" s="37"/>
      <c r="D8" s="37"/>
      <c r="E8" s="37"/>
      <c r="F8" s="37"/>
      <c r="H8" s="37"/>
      <c r="I8" s="37"/>
      <c r="J8" s="37"/>
      <c r="K8" s="37"/>
      <c r="M8" s="37"/>
      <c r="N8" s="37"/>
      <c r="O8" s="37"/>
      <c r="P8" s="37"/>
    </row>
    <row r="9" spans="3:16" ht="22" customHeight="1">
      <c r="C9" s="38">
        <f>IFERROR(COUNTA(tblACUnits[UNIT_ID]),0)</f>
        <v>18</v>
      </c>
      <c r="D9" s="39"/>
      <c r="E9" s="39"/>
      <c r="F9" s="39"/>
      <c r="H9" s="38">
        <f>IFERROR(COUNTA(tblBuildings[BUILDING_ID]),0)</f>
        <v>15</v>
      </c>
      <c r="I9" s="39"/>
      <c r="J9" s="39"/>
      <c r="K9" s="39"/>
      <c r="M9" s="40">
        <f>IFERROR(COUNTIF(tblACUnits[STATUS],"Operational"),0)</f>
        <v>18</v>
      </c>
      <c r="N9" s="41"/>
      <c r="O9" s="41"/>
      <c r="P9" s="41"/>
    </row>
    <row r="10" spans="3:16" ht="22" customHeight="1">
      <c r="C10" s="39"/>
      <c r="D10" s="39"/>
      <c r="E10" s="39"/>
      <c r="F10" s="39"/>
      <c r="H10" s="39"/>
      <c r="I10" s="39"/>
      <c r="J10" s="39"/>
      <c r="K10" s="39"/>
      <c r="M10" s="41"/>
      <c r="N10" s="41"/>
      <c r="O10" s="41"/>
      <c r="P10" s="41"/>
    </row>
    <row r="11" spans="3:16" ht="22" customHeight="1"/>
    <row r="12" spans="3:16" ht="22" customHeight="1">
      <c r="C12" s="37" t="s">
        <v>75</v>
      </c>
      <c r="D12" s="37"/>
      <c r="E12" s="37"/>
      <c r="F12" s="37"/>
      <c r="H12" s="37" t="s">
        <v>76</v>
      </c>
      <c r="I12" s="37"/>
      <c r="J12" s="37"/>
      <c r="K12" s="37"/>
      <c r="M12" s="37" t="s">
        <v>77</v>
      </c>
      <c r="N12" s="37"/>
      <c r="O12" s="37"/>
      <c r="P12" s="37"/>
    </row>
    <row r="13" spans="3:16" ht="22" customHeight="1">
      <c r="C13" s="37"/>
      <c r="D13" s="37"/>
      <c r="E13" s="37"/>
      <c r="F13" s="37"/>
      <c r="H13" s="37"/>
      <c r="I13" s="37"/>
      <c r="J13" s="37"/>
      <c r="K13" s="37"/>
      <c r="M13" s="37"/>
      <c r="N13" s="37"/>
      <c r="O13" s="37"/>
      <c r="P13" s="37"/>
    </row>
    <row r="14" spans="3:16" ht="22" customHeight="1">
      <c r="C14" s="43">
        <f>IFERROR(COUNTIF(tblACUnits[STATUS],"Due for Cleaning"),0)</f>
        <v>0</v>
      </c>
      <c r="D14" s="44"/>
      <c r="E14" s="44"/>
      <c r="F14" s="44"/>
      <c r="H14" s="45">
        <f>IFERROR(COUNTIF(tblACUnits[STATUS],"Under Repair"),0)</f>
        <v>0</v>
      </c>
      <c r="I14" s="46"/>
      <c r="J14" s="46"/>
      <c r="K14" s="46"/>
      <c r="M14" s="47">
        <f>IFERROR(COUNTIF(tblACUnits[STATUS],"For Replacement"),0)</f>
        <v>0</v>
      </c>
      <c r="N14" s="48"/>
      <c r="O14" s="48"/>
      <c r="P14" s="48"/>
    </row>
    <row r="15" spans="3:16" ht="22" customHeight="1">
      <c r="C15" s="44"/>
      <c r="D15" s="44"/>
      <c r="E15" s="44"/>
      <c r="F15" s="44"/>
      <c r="H15" s="46"/>
      <c r="I15" s="46"/>
      <c r="J15" s="46"/>
      <c r="K15" s="46"/>
      <c r="M15" s="48"/>
      <c r="N15" s="48"/>
      <c r="O15" s="48"/>
      <c r="P15" s="48"/>
    </row>
    <row r="16" spans="3:16" ht="22" customHeight="1"/>
    <row r="17" spans="3:16" ht="22" customHeight="1"/>
    <row r="18" spans="3:16" ht="22" customHeight="1">
      <c r="C18" s="49" t="s">
        <v>78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</row>
    <row r="19" spans="3:16" ht="22" customHeight="1"/>
    <row r="20" spans="3:16" ht="22" customHeight="1"/>
    <row r="21" spans="3:16" ht="22" customHeight="1"/>
    <row r="22" spans="3:16" ht="22" customHeight="1"/>
    <row r="23" spans="3:16" ht="22" customHeight="1"/>
    <row r="24" spans="3:16" ht="22" customHeight="1"/>
    <row r="25" spans="3:16" ht="22" customHeight="1"/>
    <row r="26" spans="3:16" ht="22" customHeight="1"/>
    <row r="27" spans="3:16" ht="22" customHeight="1"/>
    <row r="28" spans="3:16" ht="22" customHeight="1"/>
    <row r="29" spans="3:16" ht="22" customHeight="1"/>
    <row r="30" spans="3:16" ht="22" customHeight="1"/>
    <row r="31" spans="3:16" ht="22" customHeight="1">
      <c r="C31" s="50" t="s">
        <v>79</v>
      </c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</row>
    <row r="32" spans="3:16" ht="22" customHeight="1"/>
    <row r="33" spans="3:16" ht="22" customHeight="1">
      <c r="C33" s="51" t="s">
        <v>80</v>
      </c>
      <c r="D33" s="51"/>
      <c r="E33" s="51"/>
      <c r="F33" s="51"/>
      <c r="G33" s="1"/>
      <c r="H33" s="52" t="s">
        <v>81</v>
      </c>
      <c r="I33" s="52"/>
      <c r="J33" s="52"/>
      <c r="K33" s="52"/>
      <c r="L33" s="1"/>
      <c r="M33" s="53" t="s">
        <v>82</v>
      </c>
      <c r="N33" s="53"/>
      <c r="O33" s="53"/>
      <c r="P33" s="53"/>
    </row>
    <row r="34" spans="3:16" ht="22" customHeight="1">
      <c r="C34" s="42" t="s">
        <v>83</v>
      </c>
      <c r="D34" s="42"/>
      <c r="E34" s="42"/>
      <c r="F34" s="42"/>
      <c r="G34" s="1"/>
      <c r="H34" s="42" t="s">
        <v>83</v>
      </c>
      <c r="I34" s="42"/>
      <c r="J34" s="42"/>
      <c r="K34" s="42"/>
      <c r="L34" s="1"/>
      <c r="M34" s="42" t="s">
        <v>83</v>
      </c>
      <c r="N34" s="42"/>
      <c r="O34" s="42"/>
      <c r="P34" s="42"/>
    </row>
    <row r="35" spans="3:16" ht="22" customHeight="1">
      <c r="C35" s="42"/>
      <c r="D35" s="42"/>
      <c r="E35" s="42"/>
      <c r="F35" s="42"/>
      <c r="G35" s="1"/>
      <c r="H35" s="42"/>
      <c r="I35" s="42"/>
      <c r="J35" s="42"/>
      <c r="K35" s="42"/>
      <c r="L35" s="1"/>
      <c r="M35" s="42"/>
      <c r="N35" s="42"/>
      <c r="O35" s="42"/>
      <c r="P35" s="42"/>
    </row>
    <row r="36" spans="3:16" ht="22" customHeight="1">
      <c r="C36" s="42"/>
      <c r="D36" s="42"/>
      <c r="E36" s="42"/>
      <c r="F36" s="42"/>
      <c r="G36" s="1"/>
      <c r="H36" s="42"/>
      <c r="I36" s="42"/>
      <c r="J36" s="42"/>
      <c r="K36" s="42"/>
      <c r="L36" s="1"/>
      <c r="M36" s="42"/>
      <c r="N36" s="42"/>
      <c r="O36" s="42"/>
      <c r="P36" s="42"/>
    </row>
    <row r="37" spans="3:16" ht="22" customHeight="1">
      <c r="C37" s="42"/>
      <c r="D37" s="42"/>
      <c r="E37" s="42"/>
      <c r="F37" s="42"/>
      <c r="G37" s="1"/>
      <c r="H37" s="42"/>
      <c r="I37" s="42"/>
      <c r="J37" s="42"/>
      <c r="K37" s="42"/>
      <c r="L37" s="1"/>
      <c r="M37" s="42"/>
      <c r="N37" s="42"/>
      <c r="O37" s="42"/>
      <c r="P37" s="42"/>
    </row>
    <row r="38" spans="3:16" ht="22" customHeight="1"/>
    <row r="39" spans="3:16" ht="22" customHeight="1"/>
    <row r="40" spans="3:16" ht="22" customHeight="1"/>
  </sheetData>
  <sheetProtection password="C38A" sheet="1" scenarios="1" selectLockedCells="1" autoFilter="0" selectUnlockedCells="1"/>
  <mergeCells count="22">
    <mergeCell ref="C34:F37"/>
    <mergeCell ref="H34:K37"/>
    <mergeCell ref="M34:P37"/>
    <mergeCell ref="C12:F13"/>
    <mergeCell ref="C14:F15"/>
    <mergeCell ref="H12:K13"/>
    <mergeCell ref="H14:K15"/>
    <mergeCell ref="M12:P13"/>
    <mergeCell ref="M14:P15"/>
    <mergeCell ref="C18:P18"/>
    <mergeCell ref="C31:P31"/>
    <mergeCell ref="C33:F33"/>
    <mergeCell ref="H33:K33"/>
    <mergeCell ref="M33:P33"/>
    <mergeCell ref="C2:P4"/>
    <mergeCell ref="C5:P5"/>
    <mergeCell ref="C7:F8"/>
    <mergeCell ref="C9:F10"/>
    <mergeCell ref="H7:K8"/>
    <mergeCell ref="H9:K10"/>
    <mergeCell ref="M7:P8"/>
    <mergeCell ref="M9:P1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D665F-5F16-4655-BA3A-46E89E64B1A8}">
  <sheetPr codeName="Sheet3"/>
  <dimension ref="A1:T75"/>
  <sheetViews>
    <sheetView showGridLines="0" showRowColHeaders="0" zoomScale="70" zoomScaleNormal="70" workbookViewId="0"/>
  </sheetViews>
  <sheetFormatPr defaultRowHeight="12.5" zeroHeight="1"/>
  <cols>
    <col min="1" max="1" width="9.7265625" style="33" customWidth="1"/>
    <col min="2" max="2" width="14.08984375" style="33" customWidth="1"/>
    <col min="3" max="3" width="17.54296875" style="33" customWidth="1"/>
    <col min="4" max="4" width="13.6328125" style="33" customWidth="1"/>
    <col min="5" max="5" width="14.36328125" style="33" customWidth="1"/>
    <col min="6" max="6" width="13.6328125" style="33" customWidth="1"/>
    <col min="7" max="7" width="9.36328125" style="33" customWidth="1"/>
    <col min="8" max="10" width="13.6328125" style="33" customWidth="1"/>
    <col min="11" max="11" width="16.90625" style="33" customWidth="1"/>
    <col min="12" max="12" width="17.54296875" style="33" customWidth="1"/>
    <col min="13" max="13" width="21.6328125" style="10" customWidth="1"/>
    <col min="14" max="14" width="13.6328125" style="33" customWidth="1"/>
    <col min="15" max="15" width="17.6328125" style="10" customWidth="1"/>
    <col min="16" max="16" width="13.6328125" style="10" customWidth="1"/>
    <col min="17" max="17" width="15" style="10" customWidth="1"/>
    <col min="18" max="18" width="21.6328125" style="10" customWidth="1"/>
    <col min="19" max="19" width="17.6328125" style="10" customWidth="1"/>
    <col min="20" max="20" width="40.6328125" style="33" customWidth="1"/>
    <col min="21" max="16384" width="8.7265625" style="33"/>
  </cols>
  <sheetData>
    <row r="1" spans="1:20" ht="22" customHeight="1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4"/>
      <c r="N1" s="3"/>
      <c r="O1" s="4"/>
      <c r="P1" s="4"/>
      <c r="Q1" s="4"/>
      <c r="R1" s="4"/>
      <c r="S1" s="4"/>
      <c r="T1" s="5"/>
    </row>
    <row r="2" spans="1:20" ht="22" customHeight="1">
      <c r="A2" s="6"/>
      <c r="B2" s="7"/>
      <c r="C2" s="54" t="s">
        <v>100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8"/>
      <c r="R2" s="8"/>
      <c r="S2" s="8"/>
      <c r="T2" s="9"/>
    </row>
    <row r="3" spans="1:20" ht="22" customHeight="1"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20" ht="22" customHeight="1"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</row>
    <row r="5" spans="1:20" ht="22" customHeight="1">
      <c r="C5" s="56" t="s">
        <v>101</v>
      </c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</row>
    <row r="6" spans="1:20" ht="22" customHeight="1"/>
    <row r="7" spans="1:20" ht="22" customHeight="1">
      <c r="C7" s="37" t="s">
        <v>72</v>
      </c>
      <c r="D7" s="37"/>
      <c r="E7" s="37"/>
      <c r="F7" s="37"/>
      <c r="H7" s="37" t="s">
        <v>74</v>
      </c>
      <c r="I7" s="37"/>
      <c r="J7" s="37"/>
      <c r="K7" s="37"/>
      <c r="M7" s="59" t="s">
        <v>76</v>
      </c>
      <c r="N7" s="59"/>
      <c r="O7" s="59"/>
      <c r="P7" s="59"/>
    </row>
    <row r="8" spans="1:20" ht="22" customHeight="1">
      <c r="C8" s="37"/>
      <c r="D8" s="37"/>
      <c r="E8" s="37"/>
      <c r="F8" s="37"/>
      <c r="H8" s="37"/>
      <c r="I8" s="37"/>
      <c r="J8" s="37"/>
      <c r="K8" s="37"/>
      <c r="M8" s="59"/>
      <c r="N8" s="59"/>
      <c r="O8" s="59"/>
      <c r="P8" s="59"/>
    </row>
    <row r="9" spans="1:20" ht="22" customHeight="1">
      <c r="C9" s="57">
        <f>IFERROR(COUNTA(tblACUnits[UNIT_ID]),0)</f>
        <v>18</v>
      </c>
      <c r="D9" s="57"/>
      <c r="E9" s="57"/>
      <c r="F9" s="57"/>
      <c r="H9" s="58">
        <f>IFERROR(COUNTIF(tblACUnits[STATUS],"Operational"),0)</f>
        <v>18</v>
      </c>
      <c r="I9" s="58"/>
      <c r="J9" s="58"/>
      <c r="K9" s="58"/>
      <c r="M9" s="60">
        <f>IFERROR(COUNTIF(tblACUnits[STATUS],"Under Repair"),0)</f>
        <v>0</v>
      </c>
      <c r="N9" s="60"/>
      <c r="O9" s="60"/>
      <c r="P9" s="60"/>
    </row>
    <row r="10" spans="1:20" ht="22" customHeight="1">
      <c r="C10" s="57"/>
      <c r="D10" s="57"/>
      <c r="E10" s="57"/>
      <c r="F10" s="57"/>
      <c r="H10" s="58"/>
      <c r="I10" s="58"/>
      <c r="J10" s="58"/>
      <c r="K10" s="58"/>
      <c r="M10" s="60"/>
      <c r="N10" s="60"/>
      <c r="O10" s="60"/>
      <c r="P10" s="60"/>
    </row>
    <row r="11" spans="1:20" ht="22" customHeight="1"/>
    <row r="12" spans="1:20" ht="22" customHeight="1">
      <c r="C12" s="69" t="s">
        <v>102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</row>
    <row r="13" spans="1:20" ht="22" customHeight="1"/>
    <row r="14" spans="1:20" ht="22" customHeight="1"/>
    <row r="15" spans="1:20" ht="22" customHeight="1"/>
    <row r="16" spans="1:20" ht="22" customHeight="1"/>
    <row r="17" spans="3:16" ht="22" customHeight="1"/>
    <row r="18" spans="3:16" ht="22" customHeight="1"/>
    <row r="19" spans="3:16" ht="22" customHeight="1">
      <c r="C19" s="71" t="s">
        <v>103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</row>
    <row r="20" spans="3:16" ht="22" customHeight="1"/>
    <row r="21" spans="3:16" ht="22" customHeight="1">
      <c r="C21" s="73" t="s">
        <v>89</v>
      </c>
      <c r="D21" s="74"/>
      <c r="E21" s="75"/>
      <c r="F21" s="75"/>
      <c r="G21" s="75"/>
      <c r="H21" s="75"/>
      <c r="I21" s="75"/>
      <c r="J21" s="75"/>
    </row>
    <row r="22" spans="3:16" ht="22" customHeight="1">
      <c r="C22" s="74"/>
      <c r="D22" s="74"/>
      <c r="E22" s="75"/>
      <c r="F22" s="75"/>
      <c r="G22" s="75"/>
      <c r="H22" s="75"/>
      <c r="I22" s="75"/>
      <c r="J22" s="75"/>
    </row>
    <row r="23" spans="3:16" ht="22" customHeight="1"/>
    <row r="24" spans="3:16" ht="22" customHeight="1">
      <c r="C24" s="76" t="s">
        <v>104</v>
      </c>
      <c r="D24" s="76"/>
      <c r="E24" s="76" t="s">
        <v>22</v>
      </c>
      <c r="F24" s="76"/>
      <c r="G24" s="76" t="s">
        <v>105</v>
      </c>
      <c r="H24" s="76"/>
      <c r="I24" s="76"/>
      <c r="J24" s="76" t="s">
        <v>9</v>
      </c>
      <c r="K24" s="76"/>
      <c r="L24" s="76" t="s">
        <v>13</v>
      </c>
      <c r="M24" s="76"/>
      <c r="N24" s="76" t="s">
        <v>3</v>
      </c>
      <c r="O24" s="76"/>
      <c r="P24" s="76"/>
    </row>
    <row r="25" spans="3:16" ht="22" customHeight="1"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</row>
    <row r="26" spans="3:16" ht="25" customHeight="1">
      <c r="C26" s="61" t="s">
        <v>254</v>
      </c>
      <c r="D26" s="62"/>
      <c r="E26" s="63" t="s">
        <v>94</v>
      </c>
      <c r="F26" s="64"/>
      <c r="G26" s="63" t="s">
        <v>255</v>
      </c>
      <c r="H26" s="65"/>
      <c r="I26" s="64"/>
      <c r="J26" s="63" t="s">
        <v>110</v>
      </c>
      <c r="K26" s="64"/>
      <c r="L26" s="61" t="s">
        <v>112</v>
      </c>
      <c r="M26" s="62"/>
      <c r="N26" s="66" t="s">
        <v>47</v>
      </c>
      <c r="O26" s="67"/>
      <c r="P26" s="68"/>
    </row>
    <row r="27" spans="3:16" ht="25" customHeight="1">
      <c r="C27" s="61" t="s">
        <v>269</v>
      </c>
      <c r="D27" s="62"/>
      <c r="E27" s="63" t="s">
        <v>94</v>
      </c>
      <c r="F27" s="64"/>
      <c r="G27" s="63">
        <v>1</v>
      </c>
      <c r="H27" s="65"/>
      <c r="I27" s="64"/>
      <c r="J27" s="63" t="s">
        <v>110</v>
      </c>
      <c r="K27" s="64"/>
      <c r="L27" s="61" t="s">
        <v>270</v>
      </c>
      <c r="M27" s="62"/>
      <c r="N27" s="66" t="s">
        <v>47</v>
      </c>
      <c r="O27" s="67"/>
      <c r="P27" s="68"/>
    </row>
    <row r="28" spans="3:16" ht="25" customHeight="1">
      <c r="C28" s="61" t="s">
        <v>280</v>
      </c>
      <c r="D28" s="62"/>
      <c r="E28" s="63" t="s">
        <v>277</v>
      </c>
      <c r="F28" s="64"/>
      <c r="G28" s="63" t="s">
        <v>282</v>
      </c>
      <c r="H28" s="65"/>
      <c r="I28" s="64"/>
      <c r="J28" s="63" t="s">
        <v>173</v>
      </c>
      <c r="K28" s="64"/>
      <c r="L28" s="61" t="s">
        <v>112</v>
      </c>
      <c r="M28" s="62"/>
      <c r="N28" s="66" t="s">
        <v>47</v>
      </c>
      <c r="O28" s="67"/>
      <c r="P28" s="68"/>
    </row>
    <row r="29" spans="3:16" ht="25" customHeight="1">
      <c r="C29" s="61"/>
      <c r="D29" s="62"/>
      <c r="E29" s="63"/>
      <c r="F29" s="64"/>
      <c r="G29" s="63"/>
      <c r="H29" s="65"/>
      <c r="I29" s="64"/>
      <c r="J29" s="63"/>
      <c r="K29" s="64"/>
      <c r="L29" s="61"/>
      <c r="M29" s="62"/>
      <c r="N29" s="66"/>
      <c r="O29" s="67"/>
      <c r="P29" s="68"/>
    </row>
    <row r="30" spans="3:16" ht="25" customHeight="1">
      <c r="C30" s="61"/>
      <c r="D30" s="62"/>
      <c r="E30" s="63"/>
      <c r="F30" s="64"/>
      <c r="G30" s="63"/>
      <c r="H30" s="65"/>
      <c r="I30" s="64"/>
      <c r="J30" s="63"/>
      <c r="K30" s="64"/>
      <c r="L30" s="61"/>
      <c r="M30" s="62"/>
      <c r="N30" s="66"/>
      <c r="O30" s="67"/>
      <c r="P30" s="68"/>
    </row>
    <row r="31" spans="3:16" ht="25" customHeight="1">
      <c r="C31" s="61"/>
      <c r="D31" s="62"/>
      <c r="E31" s="63"/>
      <c r="F31" s="64"/>
      <c r="G31" s="63"/>
      <c r="H31" s="65"/>
      <c r="I31" s="64"/>
      <c r="J31" s="63"/>
      <c r="K31" s="64"/>
      <c r="L31" s="61"/>
      <c r="M31" s="62"/>
      <c r="N31" s="66"/>
      <c r="O31" s="67"/>
      <c r="P31" s="68"/>
    </row>
    <row r="32" spans="3:16" ht="25" customHeight="1">
      <c r="C32" s="61"/>
      <c r="D32" s="62"/>
      <c r="E32" s="63"/>
      <c r="F32" s="64"/>
      <c r="G32" s="63"/>
      <c r="H32" s="65"/>
      <c r="I32" s="64"/>
      <c r="J32" s="63"/>
      <c r="K32" s="64"/>
      <c r="L32" s="61"/>
      <c r="M32" s="62"/>
      <c r="N32" s="66"/>
      <c r="O32" s="67"/>
      <c r="P32" s="68"/>
    </row>
    <row r="33" spans="3:16" ht="25" customHeight="1">
      <c r="C33" s="61"/>
      <c r="D33" s="62"/>
      <c r="E33" s="63"/>
      <c r="F33" s="64"/>
      <c r="G33" s="63"/>
      <c r="H33" s="65"/>
      <c r="I33" s="64"/>
      <c r="J33" s="63"/>
      <c r="K33" s="64"/>
      <c r="L33" s="61"/>
      <c r="M33" s="62"/>
      <c r="N33" s="66"/>
      <c r="O33" s="67"/>
      <c r="P33" s="68"/>
    </row>
    <row r="34" spans="3:16" ht="25" customHeight="1">
      <c r="C34" s="61"/>
      <c r="D34" s="62"/>
      <c r="E34" s="63"/>
      <c r="F34" s="64"/>
      <c r="G34" s="63"/>
      <c r="H34" s="65"/>
      <c r="I34" s="64"/>
      <c r="J34" s="63"/>
      <c r="K34" s="64"/>
      <c r="L34" s="61"/>
      <c r="M34" s="62"/>
      <c r="N34" s="66"/>
      <c r="O34" s="67"/>
      <c r="P34" s="68"/>
    </row>
    <row r="35" spans="3:16" ht="25" customHeight="1">
      <c r="C35" s="61"/>
      <c r="D35" s="62"/>
      <c r="E35" s="63"/>
      <c r="F35" s="64"/>
      <c r="G35" s="63"/>
      <c r="H35" s="65"/>
      <c r="I35" s="64"/>
      <c r="J35" s="63"/>
      <c r="K35" s="64"/>
      <c r="L35" s="61"/>
      <c r="M35" s="62"/>
      <c r="N35" s="66"/>
      <c r="O35" s="67"/>
      <c r="P35" s="68"/>
    </row>
    <row r="36" spans="3:16" ht="25" customHeight="1">
      <c r="C36" s="61"/>
      <c r="D36" s="62"/>
      <c r="E36" s="63"/>
      <c r="F36" s="64"/>
      <c r="G36" s="63"/>
      <c r="H36" s="65"/>
      <c r="I36" s="64"/>
      <c r="J36" s="63"/>
      <c r="K36" s="64"/>
      <c r="L36" s="61"/>
      <c r="M36" s="62"/>
      <c r="N36" s="66"/>
      <c r="O36" s="67"/>
      <c r="P36" s="68"/>
    </row>
    <row r="37" spans="3:16" ht="25" customHeight="1">
      <c r="C37" s="61"/>
      <c r="D37" s="62"/>
      <c r="E37" s="63"/>
      <c r="F37" s="64"/>
      <c r="G37" s="63"/>
      <c r="H37" s="65"/>
      <c r="I37" s="64"/>
      <c r="J37" s="63"/>
      <c r="K37" s="64"/>
      <c r="L37" s="61"/>
      <c r="M37" s="62"/>
      <c r="N37" s="66"/>
      <c r="O37" s="67"/>
      <c r="P37" s="68"/>
    </row>
    <row r="38" spans="3:16" ht="25" customHeight="1">
      <c r="C38" s="61"/>
      <c r="D38" s="62"/>
      <c r="E38" s="63"/>
      <c r="F38" s="64"/>
      <c r="G38" s="63"/>
      <c r="H38" s="65"/>
      <c r="I38" s="64"/>
      <c r="J38" s="63"/>
      <c r="K38" s="64"/>
      <c r="L38" s="61"/>
      <c r="M38" s="62"/>
      <c r="N38" s="66"/>
      <c r="O38" s="67"/>
      <c r="P38" s="68"/>
    </row>
    <row r="39" spans="3:16" ht="25" customHeight="1">
      <c r="C39" s="61"/>
      <c r="D39" s="62"/>
      <c r="E39" s="63"/>
      <c r="F39" s="64"/>
      <c r="G39" s="63"/>
      <c r="H39" s="65"/>
      <c r="I39" s="64"/>
      <c r="J39" s="63"/>
      <c r="K39" s="64"/>
      <c r="L39" s="61"/>
      <c r="M39" s="62"/>
      <c r="N39" s="66"/>
      <c r="O39" s="67"/>
      <c r="P39" s="68"/>
    </row>
    <row r="40" spans="3:16" ht="25" customHeight="1">
      <c r="C40" s="61"/>
      <c r="D40" s="62"/>
      <c r="E40" s="63"/>
      <c r="F40" s="64"/>
      <c r="G40" s="63"/>
      <c r="H40" s="65"/>
      <c r="I40" s="64"/>
      <c r="J40" s="63"/>
      <c r="K40" s="64"/>
      <c r="L40" s="61"/>
      <c r="M40" s="62"/>
      <c r="N40" s="66"/>
      <c r="O40" s="67"/>
      <c r="P40" s="68"/>
    </row>
    <row r="41" spans="3:16" ht="22" customHeight="1"/>
    <row r="42" spans="3:16" ht="22" customHeight="1">
      <c r="C42" s="11" t="s">
        <v>283</v>
      </c>
      <c r="D42" s="11"/>
      <c r="E42" s="11"/>
      <c r="F42" s="11"/>
      <c r="G42" s="11"/>
      <c r="H42" s="11"/>
    </row>
    <row r="43" spans="3:16" ht="22" customHeight="1">
      <c r="M43" s="77" t="s">
        <v>106</v>
      </c>
      <c r="N43" s="77"/>
      <c r="O43" s="77"/>
      <c r="P43" s="77"/>
    </row>
    <row r="44" spans="3:16" ht="22" customHeight="1">
      <c r="M44" s="77"/>
      <c r="N44" s="77"/>
      <c r="O44" s="77"/>
      <c r="P44" s="77"/>
    </row>
    <row r="45" spans="3:16" ht="22" customHeight="1">
      <c r="M45" s="77"/>
      <c r="N45" s="77"/>
      <c r="O45" s="77"/>
      <c r="P45" s="77"/>
    </row>
    <row r="46" spans="3:16" ht="22" customHeight="1"/>
    <row r="47" spans="3:16" ht="22" customHeight="1"/>
    <row r="48" spans="3:16" ht="22" customHeight="1"/>
    <row r="49" spans="1:20" ht="22" customHeight="1"/>
    <row r="50" spans="1:20" ht="22" customHeight="1"/>
    <row r="51" spans="1:20"/>
    <row r="52" spans="1:20"/>
    <row r="53" spans="1:20"/>
    <row r="54" spans="1:20"/>
    <row r="55" spans="1:20" s="12" customFormat="1" hidden="1">
      <c r="A55" s="12" t="s">
        <v>6</v>
      </c>
      <c r="B55" s="12" t="s">
        <v>0</v>
      </c>
      <c r="C55" s="12" t="s">
        <v>1</v>
      </c>
      <c r="D55" s="12" t="s">
        <v>7</v>
      </c>
      <c r="E55" s="12" t="s">
        <v>8</v>
      </c>
      <c r="F55" s="12" t="s">
        <v>9</v>
      </c>
      <c r="G55" s="12" t="s">
        <v>10</v>
      </c>
      <c r="H55" s="12" t="s">
        <v>11</v>
      </c>
      <c r="I55" s="12" t="s">
        <v>12</v>
      </c>
      <c r="J55" s="12" t="s">
        <v>13</v>
      </c>
      <c r="K55" s="12" t="s">
        <v>14</v>
      </c>
      <c r="L55" s="12" t="s">
        <v>15</v>
      </c>
      <c r="M55" s="13" t="s">
        <v>16</v>
      </c>
      <c r="N55" s="12" t="s">
        <v>3</v>
      </c>
      <c r="O55" s="13" t="s">
        <v>17</v>
      </c>
      <c r="P55" s="13" t="s">
        <v>18</v>
      </c>
      <c r="Q55" s="13" t="s">
        <v>19</v>
      </c>
      <c r="R55" s="13" t="s">
        <v>20</v>
      </c>
      <c r="S55" s="13" t="s">
        <v>4</v>
      </c>
      <c r="T55" s="12" t="s">
        <v>5</v>
      </c>
    </row>
    <row r="56" spans="1:20" hidden="1"/>
    <row r="57" spans="1:20" hidden="1">
      <c r="A57" s="33" t="s">
        <v>107</v>
      </c>
      <c r="B57" s="33" t="s">
        <v>93</v>
      </c>
      <c r="C57" s="33" t="s">
        <v>94</v>
      </c>
      <c r="D57" s="33" t="s">
        <v>108</v>
      </c>
      <c r="E57" s="33" t="s">
        <v>109</v>
      </c>
      <c r="F57" s="33" t="s">
        <v>110</v>
      </c>
      <c r="I57" s="33" t="s">
        <v>69</v>
      </c>
      <c r="J57" s="33">
        <v>2</v>
      </c>
      <c r="K57" s="33" t="s">
        <v>111</v>
      </c>
      <c r="L57" s="33" t="s">
        <v>67</v>
      </c>
      <c r="N57" s="33" t="s">
        <v>47</v>
      </c>
      <c r="O57" s="10">
        <v>46252</v>
      </c>
      <c r="R57" s="10">
        <v>46344</v>
      </c>
      <c r="S57" s="10">
        <v>46247</v>
      </c>
    </row>
    <row r="58" spans="1:20" hidden="1">
      <c r="A58" s="33" t="s">
        <v>113</v>
      </c>
      <c r="B58" s="33" t="s">
        <v>97</v>
      </c>
      <c r="C58" s="33" t="s">
        <v>98</v>
      </c>
      <c r="D58" s="33" t="s">
        <v>114</v>
      </c>
      <c r="E58" s="33" t="s">
        <v>115</v>
      </c>
      <c r="F58" s="33" t="s">
        <v>110</v>
      </c>
      <c r="I58" s="33" t="s">
        <v>39</v>
      </c>
      <c r="J58" s="33">
        <v>2</v>
      </c>
      <c r="K58" s="33" t="s">
        <v>111</v>
      </c>
      <c r="L58" s="33" t="s">
        <v>67</v>
      </c>
      <c r="N58" s="33" t="s">
        <v>47</v>
      </c>
      <c r="O58" s="10">
        <v>46252</v>
      </c>
      <c r="P58" s="10">
        <v>46247</v>
      </c>
      <c r="R58" s="10">
        <v>46344</v>
      </c>
      <c r="S58" s="10">
        <v>46247</v>
      </c>
    </row>
    <row r="59" spans="1:20" hidden="1">
      <c r="A59" s="33" t="s">
        <v>174</v>
      </c>
      <c r="B59" s="33" t="s">
        <v>156</v>
      </c>
      <c r="C59" s="33" t="s">
        <v>157</v>
      </c>
      <c r="D59" s="33">
        <v>1</v>
      </c>
      <c r="E59" s="33" t="s">
        <v>157</v>
      </c>
      <c r="F59" s="33" t="s">
        <v>173</v>
      </c>
      <c r="G59" s="33">
        <v>2022</v>
      </c>
      <c r="H59" s="33">
        <v>123123123123</v>
      </c>
      <c r="I59" s="33" t="s">
        <v>39</v>
      </c>
      <c r="J59" s="33">
        <v>2</v>
      </c>
      <c r="K59" s="33" t="s">
        <v>111</v>
      </c>
      <c r="L59" s="33" t="s">
        <v>67</v>
      </c>
      <c r="N59" s="33" t="s">
        <v>47</v>
      </c>
      <c r="O59" s="10">
        <v>46252</v>
      </c>
      <c r="R59" s="10">
        <v>46344</v>
      </c>
      <c r="S59" s="10">
        <v>46249</v>
      </c>
    </row>
    <row r="60" spans="1:20" hidden="1">
      <c r="A60" s="33" t="s">
        <v>175</v>
      </c>
      <c r="B60" s="33" t="s">
        <v>156</v>
      </c>
      <c r="C60" s="33" t="s">
        <v>157</v>
      </c>
      <c r="D60" s="33">
        <v>1</v>
      </c>
      <c r="E60" s="33" t="s">
        <v>176</v>
      </c>
      <c r="F60" s="33" t="s">
        <v>173</v>
      </c>
      <c r="G60" s="33">
        <v>2021</v>
      </c>
      <c r="H60" s="33">
        <v>13231412312</v>
      </c>
      <c r="I60" s="33" t="s">
        <v>39</v>
      </c>
      <c r="J60" s="33">
        <v>1.5</v>
      </c>
      <c r="K60" s="33" t="s">
        <v>111</v>
      </c>
      <c r="L60" s="33" t="s">
        <v>67</v>
      </c>
      <c r="N60" s="33" t="s">
        <v>47</v>
      </c>
      <c r="O60" s="10">
        <v>46252</v>
      </c>
      <c r="Q60" s="10">
        <v>46249</v>
      </c>
      <c r="R60" s="10">
        <v>46344</v>
      </c>
      <c r="S60" s="10">
        <v>46249</v>
      </c>
    </row>
    <row r="61" spans="1:20" hidden="1">
      <c r="A61" s="33" t="s">
        <v>201</v>
      </c>
      <c r="B61" s="33" t="s">
        <v>93</v>
      </c>
      <c r="C61" s="33" t="s">
        <v>94</v>
      </c>
      <c r="D61" s="33">
        <v>1</v>
      </c>
      <c r="E61" s="33">
        <v>1312</v>
      </c>
      <c r="F61" s="33" t="s">
        <v>198</v>
      </c>
      <c r="G61" s="33">
        <v>112412</v>
      </c>
      <c r="H61" s="33" t="s">
        <v>202</v>
      </c>
      <c r="I61" s="33" t="s">
        <v>199</v>
      </c>
      <c r="J61" s="33">
        <v>2</v>
      </c>
      <c r="K61" s="33" t="s">
        <v>111</v>
      </c>
      <c r="L61" s="33" t="s">
        <v>200</v>
      </c>
      <c r="N61" s="33" t="s">
        <v>47</v>
      </c>
      <c r="O61" s="10">
        <v>46252</v>
      </c>
      <c r="R61" s="10">
        <v>46344</v>
      </c>
      <c r="S61" s="10">
        <v>46251</v>
      </c>
    </row>
    <row r="62" spans="1:20" hidden="1">
      <c r="A62" s="33" t="s">
        <v>232</v>
      </c>
      <c r="B62" s="33" t="s">
        <v>213</v>
      </c>
      <c r="C62" s="33" t="s">
        <v>214</v>
      </c>
      <c r="D62" s="33">
        <v>2</v>
      </c>
      <c r="E62" s="33" t="s">
        <v>233</v>
      </c>
      <c r="F62" s="33" t="s">
        <v>173</v>
      </c>
      <c r="G62" s="33">
        <v>2020</v>
      </c>
      <c r="H62" s="33">
        <v>125251291</v>
      </c>
      <c r="I62" s="33" t="s">
        <v>39</v>
      </c>
      <c r="J62" s="33">
        <v>2</v>
      </c>
      <c r="K62" s="33" t="s">
        <v>111</v>
      </c>
      <c r="L62" s="33" t="s">
        <v>67</v>
      </c>
      <c r="N62" s="33" t="s">
        <v>47</v>
      </c>
      <c r="S62" s="10">
        <v>46252</v>
      </c>
    </row>
    <row r="63" spans="1:20" hidden="1">
      <c r="A63" s="33" t="s">
        <v>234</v>
      </c>
      <c r="B63" s="33" t="s">
        <v>216</v>
      </c>
      <c r="C63" s="33" t="s">
        <v>217</v>
      </c>
      <c r="D63" s="33">
        <v>1</v>
      </c>
      <c r="E63" s="33" t="s">
        <v>235</v>
      </c>
      <c r="F63" s="33" t="s">
        <v>173</v>
      </c>
      <c r="G63" s="33">
        <v>2020</v>
      </c>
      <c r="H63" s="33">
        <v>5231204213</v>
      </c>
      <c r="I63" s="33" t="s">
        <v>39</v>
      </c>
      <c r="J63" s="33">
        <v>3</v>
      </c>
      <c r="K63" s="33" t="s">
        <v>111</v>
      </c>
      <c r="L63" s="33" t="s">
        <v>67</v>
      </c>
      <c r="N63" s="33" t="s">
        <v>47</v>
      </c>
      <c r="S63" s="10">
        <v>46252</v>
      </c>
    </row>
    <row r="64" spans="1:20" hidden="1">
      <c r="A64" s="33" t="s">
        <v>237</v>
      </c>
      <c r="B64" s="33" t="s">
        <v>219</v>
      </c>
      <c r="C64" s="33" t="s">
        <v>220</v>
      </c>
      <c r="D64" s="33">
        <v>1</v>
      </c>
      <c r="E64" s="33" t="s">
        <v>238</v>
      </c>
      <c r="F64" s="33" t="s">
        <v>110</v>
      </c>
      <c r="G64" s="33">
        <v>2020</v>
      </c>
      <c r="H64" s="33">
        <v>215012341</v>
      </c>
      <c r="I64" s="33" t="s">
        <v>39</v>
      </c>
      <c r="J64" s="33">
        <v>2</v>
      </c>
      <c r="K64" s="33" t="s">
        <v>111</v>
      </c>
      <c r="L64" s="33" t="s">
        <v>67</v>
      </c>
      <c r="N64" s="33" t="s">
        <v>47</v>
      </c>
      <c r="S64" s="10">
        <v>46252</v>
      </c>
    </row>
    <row r="65" spans="1:19" hidden="1">
      <c r="A65" s="33" t="s">
        <v>239</v>
      </c>
      <c r="B65" s="33" t="s">
        <v>222</v>
      </c>
      <c r="C65" s="33" t="s">
        <v>223</v>
      </c>
      <c r="D65" s="33">
        <v>3</v>
      </c>
      <c r="E65" s="33" t="s">
        <v>240</v>
      </c>
      <c r="F65" s="33" t="s">
        <v>173</v>
      </c>
      <c r="G65" s="33">
        <v>2021</v>
      </c>
      <c r="H65" s="33">
        <v>50123125123</v>
      </c>
      <c r="I65" s="33" t="s">
        <v>39</v>
      </c>
      <c r="J65" s="33">
        <v>3</v>
      </c>
      <c r="K65" s="33" t="s">
        <v>111</v>
      </c>
      <c r="L65" s="33" t="s">
        <v>67</v>
      </c>
      <c r="N65" s="33" t="s">
        <v>47</v>
      </c>
      <c r="S65" s="10">
        <v>46252</v>
      </c>
    </row>
    <row r="66" spans="1:19" hidden="1">
      <c r="A66" s="33" t="s">
        <v>241</v>
      </c>
      <c r="B66" s="33" t="s">
        <v>224</v>
      </c>
      <c r="C66" s="33" t="s">
        <v>225</v>
      </c>
      <c r="D66" s="33">
        <v>2</v>
      </c>
      <c r="E66" s="33" t="s">
        <v>242</v>
      </c>
      <c r="F66" s="33" t="s">
        <v>173</v>
      </c>
      <c r="G66" s="33">
        <v>2023</v>
      </c>
      <c r="H66" s="33">
        <v>6031021305</v>
      </c>
      <c r="I66" s="33" t="s">
        <v>39</v>
      </c>
      <c r="J66" s="33">
        <v>3</v>
      </c>
      <c r="K66" s="33" t="s">
        <v>111</v>
      </c>
      <c r="L66" s="33" t="s">
        <v>67</v>
      </c>
      <c r="N66" s="33" t="s">
        <v>47</v>
      </c>
      <c r="S66" s="10">
        <v>46252</v>
      </c>
    </row>
    <row r="67" spans="1:19" hidden="1">
      <c r="A67" s="33" t="s">
        <v>243</v>
      </c>
      <c r="B67" s="33" t="s">
        <v>226</v>
      </c>
      <c r="C67" s="33" t="s">
        <v>227</v>
      </c>
      <c r="D67" s="33">
        <v>1</v>
      </c>
      <c r="E67" s="33" t="s">
        <v>244</v>
      </c>
      <c r="F67" s="33" t="s">
        <v>173</v>
      </c>
      <c r="G67" s="33">
        <v>2024</v>
      </c>
      <c r="H67" s="33">
        <v>5020234024</v>
      </c>
      <c r="I67" s="33" t="s">
        <v>39</v>
      </c>
      <c r="J67" s="33">
        <v>3</v>
      </c>
      <c r="K67" s="33" t="s">
        <v>111</v>
      </c>
      <c r="L67" s="33" t="s">
        <v>67</v>
      </c>
      <c r="N67" s="33" t="s">
        <v>47</v>
      </c>
      <c r="S67" s="10">
        <v>46252</v>
      </c>
    </row>
    <row r="68" spans="1:19" hidden="1">
      <c r="A68" s="33" t="s">
        <v>245</v>
      </c>
      <c r="B68" s="33" t="s">
        <v>156</v>
      </c>
      <c r="C68" s="33" t="s">
        <v>157</v>
      </c>
      <c r="D68" s="33">
        <v>1</v>
      </c>
      <c r="E68" s="33" t="s">
        <v>246</v>
      </c>
      <c r="F68" s="33" t="s">
        <v>173</v>
      </c>
      <c r="G68" s="33">
        <v>2020</v>
      </c>
      <c r="H68" s="33">
        <v>12350230421</v>
      </c>
      <c r="I68" s="33" t="s">
        <v>39</v>
      </c>
      <c r="J68" s="33">
        <v>2</v>
      </c>
      <c r="K68" s="33" t="s">
        <v>111</v>
      </c>
      <c r="L68" s="33" t="s">
        <v>67</v>
      </c>
      <c r="N68" s="33" t="s">
        <v>47</v>
      </c>
      <c r="S68" s="10">
        <v>46252</v>
      </c>
    </row>
    <row r="69" spans="1:19" hidden="1">
      <c r="A69" s="33" t="s">
        <v>247</v>
      </c>
      <c r="B69" s="33" t="s">
        <v>156</v>
      </c>
      <c r="C69" s="33" t="s">
        <v>157</v>
      </c>
      <c r="D69" s="33">
        <v>2</v>
      </c>
      <c r="E69" s="33" t="s">
        <v>114</v>
      </c>
      <c r="F69" s="33" t="s">
        <v>173</v>
      </c>
      <c r="G69" s="33">
        <v>2021</v>
      </c>
      <c r="H69" s="33">
        <v>23521350231</v>
      </c>
      <c r="I69" s="33" t="s">
        <v>43</v>
      </c>
      <c r="J69" s="33">
        <v>5</v>
      </c>
      <c r="K69" s="33" t="s">
        <v>248</v>
      </c>
      <c r="L69" s="33" t="s">
        <v>67</v>
      </c>
      <c r="N69" s="33" t="s">
        <v>47</v>
      </c>
      <c r="S69" s="10">
        <v>46252</v>
      </c>
    </row>
    <row r="70" spans="1:19" hidden="1">
      <c r="A70" s="33" t="s">
        <v>250</v>
      </c>
      <c r="B70" s="33" t="s">
        <v>216</v>
      </c>
      <c r="C70" s="33" t="s">
        <v>217</v>
      </c>
      <c r="D70" s="33">
        <v>2</v>
      </c>
      <c r="E70" s="33" t="s">
        <v>251</v>
      </c>
      <c r="F70" s="33" t="s">
        <v>173</v>
      </c>
      <c r="G70" s="33">
        <v>2024</v>
      </c>
      <c r="H70" s="33">
        <v>45241205324</v>
      </c>
      <c r="I70" s="33" t="s">
        <v>39</v>
      </c>
      <c r="J70" s="33">
        <v>3</v>
      </c>
      <c r="K70" s="33" t="s">
        <v>111</v>
      </c>
      <c r="L70" s="33" t="s">
        <v>67</v>
      </c>
      <c r="N70" s="33" t="s">
        <v>47</v>
      </c>
      <c r="S70" s="10">
        <v>46252</v>
      </c>
    </row>
    <row r="71" spans="1:19" hidden="1">
      <c r="A71" s="33" t="s">
        <v>252</v>
      </c>
      <c r="B71" s="33" t="s">
        <v>93</v>
      </c>
      <c r="C71" s="33" t="s">
        <v>94</v>
      </c>
      <c r="D71" s="33">
        <v>1</v>
      </c>
      <c r="E71" s="33" t="s">
        <v>253</v>
      </c>
      <c r="F71" s="33" t="s">
        <v>110</v>
      </c>
      <c r="G71" s="33">
        <v>2023</v>
      </c>
      <c r="H71" s="33">
        <v>340512512312</v>
      </c>
      <c r="I71" s="33" t="s">
        <v>39</v>
      </c>
      <c r="J71" s="33">
        <v>3</v>
      </c>
      <c r="K71" s="33" t="s">
        <v>111</v>
      </c>
      <c r="L71" s="33" t="s">
        <v>67</v>
      </c>
      <c r="N71" s="33" t="s">
        <v>47</v>
      </c>
      <c r="S71" s="10">
        <v>46252</v>
      </c>
    </row>
    <row r="72" spans="1:19" hidden="1">
      <c r="A72" s="33" t="s">
        <v>254</v>
      </c>
      <c r="B72" s="33" t="s">
        <v>93</v>
      </c>
      <c r="C72" s="33" t="s">
        <v>94</v>
      </c>
      <c r="D72" s="33">
        <v>1</v>
      </c>
      <c r="E72" s="33" t="s">
        <v>255</v>
      </c>
      <c r="F72" s="33" t="s">
        <v>110</v>
      </c>
      <c r="G72" s="33">
        <v>2023</v>
      </c>
      <c r="H72" s="33">
        <v>34125602312</v>
      </c>
      <c r="I72" s="33" t="s">
        <v>39</v>
      </c>
      <c r="J72" s="33">
        <v>2</v>
      </c>
      <c r="K72" s="33" t="s">
        <v>111</v>
      </c>
      <c r="L72" s="33" t="s">
        <v>67</v>
      </c>
      <c r="N72" s="33" t="s">
        <v>47</v>
      </c>
      <c r="S72" s="10">
        <v>46252</v>
      </c>
    </row>
    <row r="73" spans="1:19" hidden="1">
      <c r="A73" s="33" t="s">
        <v>269</v>
      </c>
      <c r="B73" s="33" t="s">
        <v>93</v>
      </c>
      <c r="C73" s="33" t="s">
        <v>94</v>
      </c>
      <c r="D73" s="33">
        <v>2</v>
      </c>
      <c r="E73" s="33">
        <v>1</v>
      </c>
      <c r="F73" s="33" t="s">
        <v>110</v>
      </c>
      <c r="G73" s="33">
        <v>123123123</v>
      </c>
      <c r="H73" s="33">
        <v>21312412312</v>
      </c>
      <c r="I73" s="33" t="s">
        <v>39</v>
      </c>
      <c r="J73" s="33">
        <v>1</v>
      </c>
      <c r="K73" s="33" t="s">
        <v>111</v>
      </c>
      <c r="L73" s="33" t="s">
        <v>67</v>
      </c>
      <c r="N73" s="33" t="s">
        <v>47</v>
      </c>
      <c r="S73" s="10">
        <v>46252</v>
      </c>
    </row>
    <row r="74" spans="1:19" hidden="1">
      <c r="A74" s="33" t="s">
        <v>280</v>
      </c>
      <c r="B74" s="33" t="s">
        <v>276</v>
      </c>
      <c r="C74" s="33" t="s">
        <v>277</v>
      </c>
      <c r="D74" s="33" t="s">
        <v>281</v>
      </c>
      <c r="E74" s="33" t="s">
        <v>282</v>
      </c>
      <c r="F74" s="33" t="s">
        <v>173</v>
      </c>
      <c r="G74" s="33">
        <v>2020</v>
      </c>
      <c r="H74" s="33">
        <v>56481345165489</v>
      </c>
      <c r="I74" s="33" t="s">
        <v>39</v>
      </c>
      <c r="J74" s="33">
        <v>2</v>
      </c>
      <c r="K74" s="33" t="s">
        <v>111</v>
      </c>
      <c r="L74" s="33" t="s">
        <v>67</v>
      </c>
      <c r="N74" s="33" t="s">
        <v>47</v>
      </c>
      <c r="O74" s="10">
        <v>46259</v>
      </c>
      <c r="R74" s="10">
        <v>46351</v>
      </c>
      <c r="S74" s="10">
        <v>46259</v>
      </c>
    </row>
    <row r="75" spans="1:19" hidden="1"/>
  </sheetData>
  <sheetProtection password="C38A" sheet="1" scenarios="1" autoFilter="0"/>
  <mergeCells count="109">
    <mergeCell ref="M43:P45"/>
    <mergeCell ref="C40:D40"/>
    <mergeCell ref="E40:F40"/>
    <mergeCell ref="G40:I40"/>
    <mergeCell ref="J40:K40"/>
    <mergeCell ref="L40:M40"/>
    <mergeCell ref="N40:P40"/>
    <mergeCell ref="C39:D39"/>
    <mergeCell ref="E39:F39"/>
    <mergeCell ref="G39:I39"/>
    <mergeCell ref="J39:K39"/>
    <mergeCell ref="L39:M39"/>
    <mergeCell ref="N39:P39"/>
    <mergeCell ref="C38:D38"/>
    <mergeCell ref="E38:F38"/>
    <mergeCell ref="G38:I38"/>
    <mergeCell ref="J38:K38"/>
    <mergeCell ref="L38:M38"/>
    <mergeCell ref="N38:P38"/>
    <mergeCell ref="C37:D37"/>
    <mergeCell ref="E37:F37"/>
    <mergeCell ref="G37:I37"/>
    <mergeCell ref="J37:K37"/>
    <mergeCell ref="L37:M37"/>
    <mergeCell ref="N37:P37"/>
    <mergeCell ref="C36:D36"/>
    <mergeCell ref="E36:F36"/>
    <mergeCell ref="G36:I36"/>
    <mergeCell ref="J36:K36"/>
    <mergeCell ref="L36:M36"/>
    <mergeCell ref="N36:P36"/>
    <mergeCell ref="C35:D35"/>
    <mergeCell ref="E35:F35"/>
    <mergeCell ref="G35:I35"/>
    <mergeCell ref="J35:K35"/>
    <mergeCell ref="L35:M35"/>
    <mergeCell ref="N35:P35"/>
    <mergeCell ref="C34:D34"/>
    <mergeCell ref="E34:F34"/>
    <mergeCell ref="G34:I34"/>
    <mergeCell ref="J34:K34"/>
    <mergeCell ref="L34:M34"/>
    <mergeCell ref="N34:P34"/>
    <mergeCell ref="C33:D33"/>
    <mergeCell ref="E33:F33"/>
    <mergeCell ref="G33:I33"/>
    <mergeCell ref="J33:K33"/>
    <mergeCell ref="L33:M33"/>
    <mergeCell ref="N33:P33"/>
    <mergeCell ref="C32:D32"/>
    <mergeCell ref="E32:F32"/>
    <mergeCell ref="G32:I32"/>
    <mergeCell ref="J32:K32"/>
    <mergeCell ref="L32:M32"/>
    <mergeCell ref="N32:P32"/>
    <mergeCell ref="C31:D31"/>
    <mergeCell ref="E31:F31"/>
    <mergeCell ref="G31:I31"/>
    <mergeCell ref="J31:K31"/>
    <mergeCell ref="L31:M31"/>
    <mergeCell ref="N31:P31"/>
    <mergeCell ref="C30:D30"/>
    <mergeCell ref="E30:F30"/>
    <mergeCell ref="G30:I30"/>
    <mergeCell ref="J30:K30"/>
    <mergeCell ref="L30:M30"/>
    <mergeCell ref="N30:P30"/>
    <mergeCell ref="C29:D29"/>
    <mergeCell ref="E29:F29"/>
    <mergeCell ref="G29:I29"/>
    <mergeCell ref="J29:K29"/>
    <mergeCell ref="L29:M29"/>
    <mergeCell ref="N29:P29"/>
    <mergeCell ref="C28:D28"/>
    <mergeCell ref="E28:F28"/>
    <mergeCell ref="G28:I28"/>
    <mergeCell ref="J28:K28"/>
    <mergeCell ref="L28:M28"/>
    <mergeCell ref="N28:P28"/>
    <mergeCell ref="C27:D27"/>
    <mergeCell ref="E27:F27"/>
    <mergeCell ref="G27:I27"/>
    <mergeCell ref="J27:K27"/>
    <mergeCell ref="L27:M27"/>
    <mergeCell ref="N27:P27"/>
    <mergeCell ref="C2:P4"/>
    <mergeCell ref="C5:P5"/>
    <mergeCell ref="C7:F8"/>
    <mergeCell ref="C9:F10"/>
    <mergeCell ref="H7:K8"/>
    <mergeCell ref="H9:K10"/>
    <mergeCell ref="M7:P8"/>
    <mergeCell ref="M9:P10"/>
    <mergeCell ref="C26:D26"/>
    <mergeCell ref="E26:F26"/>
    <mergeCell ref="G26:I26"/>
    <mergeCell ref="J26:K26"/>
    <mergeCell ref="L26:M26"/>
    <mergeCell ref="N26:P26"/>
    <mergeCell ref="C12:P12"/>
    <mergeCell ref="C19:P19"/>
    <mergeCell ref="C21:D22"/>
    <mergeCell ref="E21:J22"/>
    <mergeCell ref="C24:D25"/>
    <mergeCell ref="E24:F25"/>
    <mergeCell ref="G24:I25"/>
    <mergeCell ref="J24:K25"/>
    <mergeCell ref="L24:M25"/>
    <mergeCell ref="N24:P25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7EF54-3F3C-4853-8FC1-F32EA7D14156}">
  <sheetPr codeName="Sheet4"/>
  <dimension ref="A1:P68"/>
  <sheetViews>
    <sheetView showGridLines="0" zoomScale="70" zoomScaleNormal="70" workbookViewId="0"/>
  </sheetViews>
  <sheetFormatPr defaultRowHeight="12.5" zeroHeight="1"/>
  <cols>
    <col min="1" max="1" width="14.08984375" style="33" customWidth="1"/>
    <col min="2" max="2" width="17.54296875" style="33" customWidth="1"/>
    <col min="3" max="6" width="15.6328125" style="33" customWidth="1"/>
    <col min="7" max="7" width="3.6328125" style="33" customWidth="1"/>
    <col min="8" max="11" width="15.6328125" style="33" customWidth="1"/>
    <col min="12" max="12" width="3.6328125" style="33" customWidth="1"/>
    <col min="13" max="16" width="15.6328125" style="33" customWidth="1"/>
    <col min="17" max="17" width="3.6328125" style="33" customWidth="1"/>
    <col min="18" max="16384" width="8.7265625" style="33"/>
  </cols>
  <sheetData>
    <row r="1" spans="1:16" ht="22" customHeight="1">
      <c r="A1" s="2"/>
      <c r="B1" s="3"/>
      <c r="C1" s="3"/>
      <c r="D1" s="3"/>
      <c r="E1" s="3"/>
      <c r="F1" s="5"/>
    </row>
    <row r="2" spans="1:16" ht="22" customHeight="1">
      <c r="A2" s="6"/>
      <c r="B2" s="7"/>
      <c r="C2" s="78" t="s">
        <v>84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</row>
    <row r="3" spans="1:16" ht="22" customHeight="1"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</row>
    <row r="4" spans="1:16" ht="22" customHeight="1"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</row>
    <row r="5" spans="1:16" ht="22" customHeight="1">
      <c r="C5" s="56" t="s">
        <v>85</v>
      </c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</row>
    <row r="6" spans="1:16" ht="22" customHeight="1"/>
    <row r="7" spans="1:16" ht="22" customHeight="1">
      <c r="C7" s="37" t="s">
        <v>73</v>
      </c>
      <c r="D7" s="37"/>
      <c r="E7" s="37"/>
      <c r="F7" s="37"/>
      <c r="H7" s="37" t="s">
        <v>86</v>
      </c>
      <c r="I7" s="37"/>
      <c r="J7" s="37"/>
      <c r="K7" s="37"/>
      <c r="M7" s="37" t="s">
        <v>72</v>
      </c>
      <c r="N7" s="37"/>
      <c r="O7" s="37"/>
      <c r="P7" s="37"/>
    </row>
    <row r="8" spans="1:16" ht="22" customHeight="1">
      <c r="C8" s="37"/>
      <c r="D8" s="37"/>
      <c r="E8" s="37"/>
      <c r="F8" s="37"/>
      <c r="H8" s="37"/>
      <c r="I8" s="37"/>
      <c r="J8" s="37"/>
      <c r="K8" s="37"/>
      <c r="M8" s="37"/>
      <c r="N8" s="37"/>
      <c r="O8" s="37"/>
      <c r="P8" s="37"/>
    </row>
    <row r="9" spans="1:16" ht="22" customHeight="1">
      <c r="C9" s="57">
        <f>IFERROR(COUNTA(tblBuildings[BUILDING_ID]),0)</f>
        <v>15</v>
      </c>
      <c r="D9" s="79"/>
      <c r="E9" s="79"/>
      <c r="F9" s="79"/>
      <c r="H9" s="58">
        <f>IFERROR(COUNTIF(tblBuildings[STATUS],"Active"),0)</f>
        <v>15</v>
      </c>
      <c r="I9" s="80"/>
      <c r="J9" s="80"/>
      <c r="K9" s="80"/>
      <c r="M9" s="57">
        <f>IFERROR(COUNTA(tblACUnits[UNIT_ID]),0)</f>
        <v>18</v>
      </c>
      <c r="N9" s="79"/>
      <c r="O9" s="79"/>
      <c r="P9" s="79"/>
    </row>
    <row r="10" spans="1:16" ht="22" customHeight="1">
      <c r="C10" s="79"/>
      <c r="D10" s="79"/>
      <c r="E10" s="79"/>
      <c r="F10" s="79"/>
      <c r="H10" s="80"/>
      <c r="I10" s="80"/>
      <c r="J10" s="80"/>
      <c r="K10" s="80"/>
      <c r="M10" s="79"/>
      <c r="N10" s="79"/>
      <c r="O10" s="79"/>
      <c r="P10" s="79"/>
    </row>
    <row r="11" spans="1:16" ht="22" customHeight="1"/>
    <row r="12" spans="1:16" ht="22" customHeight="1">
      <c r="C12" s="69" t="s">
        <v>87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</row>
    <row r="13" spans="1:16" ht="22" customHeight="1"/>
    <row r="14" spans="1:16" ht="22" customHeight="1"/>
    <row r="15" spans="1:16" ht="22" customHeight="1"/>
    <row r="16" spans="1:16" ht="22" customHeight="1"/>
    <row r="17" spans="3:16" ht="22" customHeight="1"/>
    <row r="18" spans="3:16" ht="22" customHeight="1"/>
    <row r="19" spans="3:16" ht="22" customHeight="1">
      <c r="C19" s="71" t="s">
        <v>88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</row>
    <row r="20" spans="3:16" ht="22" customHeight="1"/>
    <row r="21" spans="3:16" ht="22" customHeight="1">
      <c r="C21" s="81" t="s">
        <v>89</v>
      </c>
      <c r="D21" s="70"/>
      <c r="E21" s="75"/>
      <c r="F21" s="75"/>
      <c r="G21" s="75"/>
      <c r="H21" s="75"/>
      <c r="I21" s="75"/>
      <c r="J21" s="75"/>
      <c r="K21" s="75"/>
    </row>
    <row r="22" spans="3:16" ht="22" customHeight="1">
      <c r="C22" s="70"/>
      <c r="D22" s="70"/>
      <c r="E22" s="75"/>
      <c r="F22" s="75"/>
      <c r="G22" s="75"/>
      <c r="H22" s="75"/>
      <c r="I22" s="75"/>
      <c r="J22" s="75"/>
      <c r="K22" s="75"/>
    </row>
    <row r="23" spans="3:16" ht="22" customHeight="1"/>
    <row r="24" spans="3:16" ht="22" customHeight="1">
      <c r="C24" s="76" t="s">
        <v>90</v>
      </c>
      <c r="D24" s="76"/>
      <c r="E24" s="76" t="s">
        <v>22</v>
      </c>
      <c r="F24" s="76"/>
      <c r="G24" s="76"/>
      <c r="H24" s="76"/>
      <c r="I24" s="76" t="s">
        <v>2</v>
      </c>
      <c r="J24" s="76"/>
      <c r="K24" s="76"/>
      <c r="L24" s="76" t="s">
        <v>3</v>
      </c>
      <c r="M24" s="76"/>
      <c r="N24" s="76" t="s">
        <v>91</v>
      </c>
      <c r="O24" s="76"/>
      <c r="P24" s="76"/>
    </row>
    <row r="25" spans="3:16" ht="22" customHeight="1"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</row>
    <row r="26" spans="3:16" ht="25" customHeight="1">
      <c r="C26" s="61" t="s">
        <v>265</v>
      </c>
      <c r="D26" s="62"/>
      <c r="E26" s="82" t="s">
        <v>266</v>
      </c>
      <c r="F26" s="82"/>
      <c r="G26" s="82"/>
      <c r="H26" s="82"/>
      <c r="I26" s="82" t="s">
        <v>267</v>
      </c>
      <c r="J26" s="82"/>
      <c r="K26" s="82"/>
      <c r="L26" s="66" t="s">
        <v>96</v>
      </c>
      <c r="M26" s="68"/>
      <c r="N26" s="61">
        <v>0</v>
      </c>
      <c r="O26" s="83"/>
      <c r="P26" s="62"/>
    </row>
    <row r="27" spans="3:16" ht="25" customHeight="1">
      <c r="C27" s="61" t="s">
        <v>276</v>
      </c>
      <c r="D27" s="62"/>
      <c r="E27" s="82" t="s">
        <v>277</v>
      </c>
      <c r="F27" s="82"/>
      <c r="G27" s="82"/>
      <c r="H27" s="82"/>
      <c r="I27" s="82" t="s">
        <v>278</v>
      </c>
      <c r="J27" s="82"/>
      <c r="K27" s="82"/>
      <c r="L27" s="66" t="s">
        <v>96</v>
      </c>
      <c r="M27" s="68"/>
      <c r="N27" s="61">
        <v>1</v>
      </c>
      <c r="O27" s="83"/>
      <c r="P27" s="62"/>
    </row>
    <row r="28" spans="3:16" ht="25" customHeight="1">
      <c r="C28" s="84"/>
      <c r="D28" s="84"/>
      <c r="E28" s="82"/>
      <c r="F28" s="82"/>
      <c r="G28" s="82"/>
      <c r="H28" s="82"/>
      <c r="I28" s="82"/>
      <c r="J28" s="82"/>
      <c r="K28" s="82"/>
      <c r="L28" s="85"/>
      <c r="M28" s="85"/>
      <c r="N28" s="84"/>
      <c r="O28" s="84"/>
      <c r="P28" s="84"/>
    </row>
    <row r="29" spans="3:16" ht="25" customHeight="1">
      <c r="C29" s="84"/>
      <c r="D29" s="84"/>
      <c r="E29" s="82"/>
      <c r="F29" s="82"/>
      <c r="G29" s="82"/>
      <c r="H29" s="82"/>
      <c r="I29" s="82"/>
      <c r="J29" s="82"/>
      <c r="K29" s="82"/>
      <c r="L29" s="85"/>
      <c r="M29" s="85"/>
      <c r="N29" s="84"/>
      <c r="O29" s="84"/>
      <c r="P29" s="84"/>
    </row>
    <row r="30" spans="3:16" ht="25" customHeight="1">
      <c r="C30" s="84"/>
      <c r="D30" s="84"/>
      <c r="E30" s="82"/>
      <c r="F30" s="82"/>
      <c r="G30" s="82"/>
      <c r="H30" s="82"/>
      <c r="I30" s="82"/>
      <c r="J30" s="82"/>
      <c r="K30" s="82"/>
      <c r="L30" s="85"/>
      <c r="M30" s="85"/>
      <c r="N30" s="84"/>
      <c r="O30" s="84"/>
      <c r="P30" s="84"/>
    </row>
    <row r="31" spans="3:16" ht="25" customHeight="1">
      <c r="C31" s="84"/>
      <c r="D31" s="84"/>
      <c r="E31" s="82"/>
      <c r="F31" s="82"/>
      <c r="G31" s="82"/>
      <c r="H31" s="82"/>
      <c r="I31" s="82"/>
      <c r="J31" s="82"/>
      <c r="K31" s="82"/>
      <c r="L31" s="85"/>
      <c r="M31" s="85"/>
      <c r="N31" s="84"/>
      <c r="O31" s="84"/>
      <c r="P31" s="84"/>
    </row>
    <row r="32" spans="3:16" ht="25" customHeight="1">
      <c r="C32" s="84"/>
      <c r="D32" s="84"/>
      <c r="E32" s="82"/>
      <c r="F32" s="82"/>
      <c r="G32" s="82"/>
      <c r="H32" s="82"/>
      <c r="I32" s="82"/>
      <c r="J32" s="82"/>
      <c r="K32" s="82"/>
      <c r="L32" s="85"/>
      <c r="M32" s="85"/>
      <c r="N32" s="84"/>
      <c r="O32" s="84"/>
      <c r="P32" s="84"/>
    </row>
    <row r="33" spans="3:16" ht="25" customHeight="1">
      <c r="C33" s="84"/>
      <c r="D33" s="84"/>
      <c r="E33" s="82"/>
      <c r="F33" s="82"/>
      <c r="G33" s="82"/>
      <c r="H33" s="82"/>
      <c r="I33" s="82"/>
      <c r="J33" s="82"/>
      <c r="K33" s="82"/>
      <c r="L33" s="85"/>
      <c r="M33" s="85"/>
      <c r="N33" s="84"/>
      <c r="O33" s="84"/>
      <c r="P33" s="84"/>
    </row>
    <row r="34" spans="3:16" ht="25" customHeight="1">
      <c r="C34" s="84"/>
      <c r="D34" s="84"/>
      <c r="E34" s="82"/>
      <c r="F34" s="82"/>
      <c r="G34" s="82"/>
      <c r="H34" s="82"/>
      <c r="I34" s="82"/>
      <c r="J34" s="82"/>
      <c r="K34" s="82"/>
      <c r="L34" s="85"/>
      <c r="M34" s="85"/>
      <c r="N34" s="84"/>
      <c r="O34" s="84"/>
      <c r="P34" s="84"/>
    </row>
    <row r="35" spans="3:16" ht="25" customHeight="1">
      <c r="C35" s="84"/>
      <c r="D35" s="84"/>
      <c r="E35" s="82"/>
      <c r="F35" s="82"/>
      <c r="G35" s="82"/>
      <c r="H35" s="82"/>
      <c r="I35" s="82"/>
      <c r="J35" s="82"/>
      <c r="K35" s="82"/>
      <c r="L35" s="85"/>
      <c r="M35" s="85"/>
      <c r="N35" s="84"/>
      <c r="O35" s="84"/>
      <c r="P35" s="84"/>
    </row>
    <row r="36" spans="3:16" ht="25" customHeight="1">
      <c r="C36" s="84"/>
      <c r="D36" s="84"/>
      <c r="E36" s="82"/>
      <c r="F36" s="82"/>
      <c r="G36" s="82"/>
      <c r="H36" s="82"/>
      <c r="I36" s="82"/>
      <c r="J36" s="82"/>
      <c r="K36" s="82"/>
      <c r="L36" s="85"/>
      <c r="M36" s="85"/>
      <c r="N36" s="84"/>
      <c r="O36" s="84"/>
      <c r="P36" s="84"/>
    </row>
    <row r="37" spans="3:16" ht="25" customHeight="1">
      <c r="C37" s="84"/>
      <c r="D37" s="84"/>
      <c r="E37" s="82"/>
      <c r="F37" s="82"/>
      <c r="G37" s="82"/>
      <c r="H37" s="82"/>
      <c r="I37" s="82"/>
      <c r="J37" s="82"/>
      <c r="K37" s="82"/>
      <c r="L37" s="85"/>
      <c r="M37" s="85"/>
      <c r="N37" s="84"/>
      <c r="O37" s="84"/>
      <c r="P37" s="84"/>
    </row>
    <row r="38" spans="3:16" ht="25" customHeight="1">
      <c r="C38" s="84"/>
      <c r="D38" s="84"/>
      <c r="E38" s="82"/>
      <c r="F38" s="82"/>
      <c r="G38" s="82"/>
      <c r="H38" s="82"/>
      <c r="I38" s="82"/>
      <c r="J38" s="82"/>
      <c r="K38" s="82"/>
      <c r="L38" s="85"/>
      <c r="M38" s="85"/>
      <c r="N38" s="84"/>
      <c r="O38" s="84"/>
      <c r="P38" s="84"/>
    </row>
    <row r="39" spans="3:16" ht="22" customHeight="1">
      <c r="C39" s="14" t="s">
        <v>279</v>
      </c>
      <c r="D39" s="14"/>
      <c r="E39" s="14"/>
      <c r="F39" s="14"/>
      <c r="G39" s="14"/>
      <c r="H39" s="14"/>
    </row>
    <row r="40" spans="3:16" ht="22" customHeight="1"/>
    <row r="41" spans="3:16" ht="22" customHeight="1">
      <c r="J41" s="86" t="s">
        <v>92</v>
      </c>
      <c r="K41" s="86"/>
      <c r="L41" s="86"/>
      <c r="M41" s="86"/>
      <c r="N41" s="86"/>
      <c r="O41" s="86"/>
      <c r="P41" s="86"/>
    </row>
    <row r="42" spans="3:16" ht="22" customHeight="1">
      <c r="J42" s="86"/>
      <c r="K42" s="86"/>
      <c r="L42" s="86"/>
      <c r="M42" s="86"/>
      <c r="N42" s="86"/>
      <c r="O42" s="86"/>
      <c r="P42" s="86"/>
    </row>
    <row r="43" spans="3:16" ht="22" customHeight="1">
      <c r="J43" s="86"/>
      <c r="K43" s="86"/>
      <c r="L43" s="86"/>
      <c r="M43" s="86"/>
      <c r="N43" s="86"/>
      <c r="O43" s="86"/>
      <c r="P43" s="86"/>
    </row>
    <row r="44" spans="3:16" ht="22" customHeight="1"/>
    <row r="45" spans="3:16" ht="22" customHeight="1"/>
    <row r="46" spans="3:16"/>
    <row r="47" spans="3:16"/>
    <row r="48" spans="3:16"/>
    <row r="49" spans="1:6"/>
    <row r="50" spans="1:6" hidden="1">
      <c r="A50" s="33" t="s">
        <v>0</v>
      </c>
      <c r="B50" s="33" t="s">
        <v>1</v>
      </c>
      <c r="C50" s="33" t="s">
        <v>2</v>
      </c>
      <c r="D50" s="33" t="s">
        <v>3</v>
      </c>
      <c r="E50" s="33" t="s">
        <v>4</v>
      </c>
      <c r="F50" s="33" t="s">
        <v>5</v>
      </c>
    </row>
    <row r="51" spans="1:6" hidden="1"/>
    <row r="52" spans="1:6" hidden="1">
      <c r="A52" s="33" t="s">
        <v>93</v>
      </c>
      <c r="B52" s="33" t="s">
        <v>94</v>
      </c>
      <c r="C52" s="33" t="s">
        <v>95</v>
      </c>
      <c r="D52" s="33" t="s">
        <v>96</v>
      </c>
      <c r="E52" s="15">
        <v>46247</v>
      </c>
    </row>
    <row r="53" spans="1:6" hidden="1">
      <c r="A53" s="33" t="s">
        <v>97</v>
      </c>
      <c r="B53" s="33" t="s">
        <v>98</v>
      </c>
      <c r="C53" s="33" t="s">
        <v>99</v>
      </c>
      <c r="D53" s="33" t="s">
        <v>96</v>
      </c>
      <c r="E53" s="15">
        <v>46247</v>
      </c>
    </row>
    <row r="54" spans="1:6" hidden="1">
      <c r="A54" s="33" t="s">
        <v>156</v>
      </c>
      <c r="B54" s="33" t="s">
        <v>157</v>
      </c>
      <c r="C54" s="33" t="s">
        <v>158</v>
      </c>
      <c r="D54" s="33" t="s">
        <v>96</v>
      </c>
      <c r="E54" s="15">
        <v>46247</v>
      </c>
    </row>
    <row r="55" spans="1:6" hidden="1">
      <c r="A55" s="33" t="s">
        <v>213</v>
      </c>
      <c r="B55" s="33" t="s">
        <v>214</v>
      </c>
      <c r="C55" s="33" t="s">
        <v>215</v>
      </c>
      <c r="D55" s="33" t="s">
        <v>96</v>
      </c>
      <c r="E55" s="15">
        <v>46252</v>
      </c>
    </row>
    <row r="56" spans="1:6" hidden="1">
      <c r="A56" s="33" t="s">
        <v>216</v>
      </c>
      <c r="B56" s="33" t="s">
        <v>217</v>
      </c>
      <c r="C56" s="33" t="s">
        <v>218</v>
      </c>
      <c r="D56" s="33" t="s">
        <v>96</v>
      </c>
      <c r="E56" s="15">
        <v>46252</v>
      </c>
    </row>
    <row r="57" spans="1:6" hidden="1">
      <c r="A57" s="33" t="s">
        <v>219</v>
      </c>
      <c r="B57" s="33" t="s">
        <v>220</v>
      </c>
      <c r="C57" s="33" t="s">
        <v>221</v>
      </c>
      <c r="D57" s="33" t="s">
        <v>96</v>
      </c>
      <c r="E57" s="15">
        <v>46252</v>
      </c>
    </row>
    <row r="58" spans="1:6" hidden="1">
      <c r="A58" s="33" t="s">
        <v>222</v>
      </c>
      <c r="B58" s="33" t="s">
        <v>223</v>
      </c>
      <c r="C58" s="33" t="s">
        <v>95</v>
      </c>
      <c r="D58" s="33" t="s">
        <v>96</v>
      </c>
      <c r="E58" s="15">
        <v>46252</v>
      </c>
    </row>
    <row r="59" spans="1:6" hidden="1">
      <c r="A59" s="33" t="s">
        <v>224</v>
      </c>
      <c r="B59" s="33" t="s">
        <v>225</v>
      </c>
      <c r="C59" s="33" t="s">
        <v>217</v>
      </c>
      <c r="D59" s="33" t="s">
        <v>96</v>
      </c>
      <c r="E59" s="15">
        <v>46252</v>
      </c>
    </row>
    <row r="60" spans="1:6" hidden="1">
      <c r="A60" s="33" t="s">
        <v>226</v>
      </c>
      <c r="B60" s="33" t="s">
        <v>227</v>
      </c>
      <c r="C60" s="33" t="s">
        <v>228</v>
      </c>
      <c r="D60" s="33" t="s">
        <v>96</v>
      </c>
      <c r="E60" s="15">
        <v>46252</v>
      </c>
    </row>
    <row r="61" spans="1:6" hidden="1">
      <c r="A61" s="33" t="s">
        <v>229</v>
      </c>
      <c r="B61" s="33" t="s">
        <v>230</v>
      </c>
      <c r="C61" s="33" t="s">
        <v>231</v>
      </c>
      <c r="D61" s="33" t="s">
        <v>96</v>
      </c>
      <c r="E61" s="15">
        <v>46252</v>
      </c>
    </row>
    <row r="62" spans="1:6" hidden="1">
      <c r="A62" s="33" t="s">
        <v>256</v>
      </c>
      <c r="B62" s="33" t="s">
        <v>257</v>
      </c>
      <c r="C62" s="33" t="s">
        <v>258</v>
      </c>
      <c r="D62" s="33" t="s">
        <v>96</v>
      </c>
      <c r="E62" s="15">
        <v>46252</v>
      </c>
    </row>
    <row r="63" spans="1:6" hidden="1">
      <c r="A63" s="33" t="s">
        <v>259</v>
      </c>
      <c r="B63" s="33" t="s">
        <v>260</v>
      </c>
      <c r="C63" s="33" t="s">
        <v>261</v>
      </c>
      <c r="D63" s="33" t="s">
        <v>96</v>
      </c>
      <c r="E63" s="15">
        <v>46252</v>
      </c>
    </row>
    <row r="64" spans="1:6" hidden="1">
      <c r="A64" s="33" t="s">
        <v>262</v>
      </c>
      <c r="B64" s="33" t="s">
        <v>263</v>
      </c>
      <c r="C64" s="33" t="s">
        <v>264</v>
      </c>
      <c r="D64" s="33" t="s">
        <v>96</v>
      </c>
      <c r="E64" s="15">
        <v>46252</v>
      </c>
    </row>
    <row r="65" spans="1:5" hidden="1">
      <c r="A65" s="33" t="s">
        <v>265</v>
      </c>
      <c r="B65" s="33" t="s">
        <v>266</v>
      </c>
      <c r="C65" s="33" t="s">
        <v>267</v>
      </c>
      <c r="D65" s="33" t="s">
        <v>96</v>
      </c>
      <c r="E65" s="15">
        <v>46252</v>
      </c>
    </row>
    <row r="66" spans="1:5" hidden="1">
      <c r="A66" s="33" t="s">
        <v>276</v>
      </c>
      <c r="B66" s="33" t="s">
        <v>277</v>
      </c>
      <c r="C66" s="33" t="s">
        <v>278</v>
      </c>
      <c r="D66" s="33" t="s">
        <v>96</v>
      </c>
      <c r="E66" s="15">
        <v>46259</v>
      </c>
    </row>
    <row r="67" spans="1:5" hidden="1"/>
    <row r="68" spans="1:5" hidden="1"/>
  </sheetData>
  <sheetProtection password="C38A" sheet="1" scenarios="1" autoFilter="0"/>
  <mergeCells count="83">
    <mergeCell ref="J41:P43"/>
    <mergeCell ref="C36:D36"/>
    <mergeCell ref="E36:H36"/>
    <mergeCell ref="I36:K36"/>
    <mergeCell ref="L36:M36"/>
    <mergeCell ref="N36:P36"/>
    <mergeCell ref="C37:D37"/>
    <mergeCell ref="E37:H37"/>
    <mergeCell ref="I37:K37"/>
    <mergeCell ref="L37:M37"/>
    <mergeCell ref="N37:P37"/>
    <mergeCell ref="C38:D38"/>
    <mergeCell ref="E38:H38"/>
    <mergeCell ref="I38:K38"/>
    <mergeCell ref="L38:M38"/>
    <mergeCell ref="N38:P38"/>
    <mergeCell ref="C34:D34"/>
    <mergeCell ref="E34:H34"/>
    <mergeCell ref="I34:K34"/>
    <mergeCell ref="L34:M34"/>
    <mergeCell ref="N34:P34"/>
    <mergeCell ref="C35:D35"/>
    <mergeCell ref="E35:H35"/>
    <mergeCell ref="I35:K35"/>
    <mergeCell ref="L35:M35"/>
    <mergeCell ref="N35:P35"/>
    <mergeCell ref="C32:D32"/>
    <mergeCell ref="E32:H32"/>
    <mergeCell ref="I32:K32"/>
    <mergeCell ref="L32:M32"/>
    <mergeCell ref="N32:P32"/>
    <mergeCell ref="C33:D33"/>
    <mergeCell ref="E33:H33"/>
    <mergeCell ref="I33:K33"/>
    <mergeCell ref="L33:M33"/>
    <mergeCell ref="N33:P33"/>
    <mergeCell ref="C30:D30"/>
    <mergeCell ref="E30:H30"/>
    <mergeCell ref="I30:K30"/>
    <mergeCell ref="L30:M30"/>
    <mergeCell ref="N30:P30"/>
    <mergeCell ref="C31:D31"/>
    <mergeCell ref="E31:H31"/>
    <mergeCell ref="I31:K31"/>
    <mergeCell ref="L31:M31"/>
    <mergeCell ref="N31:P31"/>
    <mergeCell ref="C28:D28"/>
    <mergeCell ref="E28:H28"/>
    <mergeCell ref="I28:K28"/>
    <mergeCell ref="L28:M28"/>
    <mergeCell ref="N28:P28"/>
    <mergeCell ref="C29:D29"/>
    <mergeCell ref="E29:H29"/>
    <mergeCell ref="I29:K29"/>
    <mergeCell ref="L29:M29"/>
    <mergeCell ref="N29:P29"/>
    <mergeCell ref="C26:D26"/>
    <mergeCell ref="E26:H26"/>
    <mergeCell ref="I26:K26"/>
    <mergeCell ref="L26:M26"/>
    <mergeCell ref="N26:P26"/>
    <mergeCell ref="C27:D27"/>
    <mergeCell ref="E27:H27"/>
    <mergeCell ref="I27:K27"/>
    <mergeCell ref="L27:M27"/>
    <mergeCell ref="N27:P27"/>
    <mergeCell ref="C12:P12"/>
    <mergeCell ref="C19:P19"/>
    <mergeCell ref="C21:D22"/>
    <mergeCell ref="E21:K22"/>
    <mergeCell ref="C24:D25"/>
    <mergeCell ref="E24:H25"/>
    <mergeCell ref="I24:K25"/>
    <mergeCell ref="L24:M25"/>
    <mergeCell ref="N24:P25"/>
    <mergeCell ref="C2:P4"/>
    <mergeCell ref="C5:P5"/>
    <mergeCell ref="C7:F8"/>
    <mergeCell ref="C9:F10"/>
    <mergeCell ref="H7:K8"/>
    <mergeCell ref="H9:K10"/>
    <mergeCell ref="M7:P8"/>
    <mergeCell ref="M9:P10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5EF7-6665-4346-8E3E-220D867E2101}">
  <sheetPr codeName="Sheet5"/>
  <dimension ref="A1:P81"/>
  <sheetViews>
    <sheetView showGridLines="0" showRowColHeaders="0" zoomScale="70" zoomScaleNormal="70" workbookViewId="0">
      <selection activeCell="N27" sqref="N27:P27"/>
    </sheetView>
  </sheetViews>
  <sheetFormatPr defaultRowHeight="12.5" zeroHeight="1"/>
  <cols>
    <col min="1" max="1" width="11.1796875" style="33" customWidth="1"/>
    <col min="2" max="2" width="9.7265625" style="33" customWidth="1"/>
    <col min="3" max="3" width="13.6328125" style="33" customWidth="1"/>
    <col min="4" max="4" width="14.36328125" style="33" customWidth="1"/>
    <col min="5" max="5" width="13.6328125" style="10" customWidth="1"/>
    <col min="6" max="6" width="16.6328125" style="33" customWidth="1"/>
    <col min="7" max="7" width="20.08984375" style="33" customWidth="1"/>
    <col min="8" max="8" width="16.7265625" style="33" customWidth="1"/>
    <col min="9" max="9" width="19.453125" style="33" customWidth="1"/>
    <col min="10" max="10" width="27.453125" style="33" customWidth="1"/>
    <col min="11" max="11" width="13.6328125" style="17" customWidth="1"/>
    <col min="12" max="12" width="18.1796875" style="10" customWidth="1"/>
    <col min="13" max="16" width="13.6328125" style="33" customWidth="1"/>
    <col min="17" max="17" width="3.6328125" style="33" customWidth="1"/>
    <col min="18" max="16384" width="8.7265625" style="33"/>
  </cols>
  <sheetData>
    <row r="1" spans="1:16" ht="22" customHeight="1">
      <c r="A1" s="2"/>
      <c r="B1" s="3"/>
      <c r="C1" s="3"/>
      <c r="D1" s="3"/>
      <c r="E1" s="4"/>
      <c r="F1" s="3"/>
      <c r="G1" s="3"/>
      <c r="H1" s="3"/>
      <c r="I1" s="3"/>
      <c r="J1" s="3"/>
      <c r="K1" s="16"/>
      <c r="L1" s="4"/>
      <c r="M1" s="3"/>
      <c r="N1" s="5"/>
    </row>
    <row r="2" spans="1:16" ht="22" customHeight="1">
      <c r="A2" s="6"/>
      <c r="B2" s="7"/>
      <c r="C2" s="55" t="s">
        <v>116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ht="22" customHeight="1"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16" ht="22" customHeight="1"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</row>
    <row r="5" spans="1:16" ht="22" customHeight="1">
      <c r="C5" s="56" t="s">
        <v>117</v>
      </c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</row>
    <row r="6" spans="1:16" ht="22" customHeight="1"/>
    <row r="7" spans="1:16" ht="22" customHeight="1">
      <c r="C7" s="37" t="s">
        <v>118</v>
      </c>
      <c r="D7" s="37"/>
      <c r="E7" s="37"/>
      <c r="F7" s="37"/>
      <c r="H7" s="37" t="s">
        <v>119</v>
      </c>
      <c r="I7" s="37"/>
      <c r="J7" s="37"/>
      <c r="K7" s="37"/>
      <c r="M7" s="37" t="s">
        <v>120</v>
      </c>
      <c r="N7" s="37"/>
      <c r="O7" s="37"/>
      <c r="P7" s="37"/>
    </row>
    <row r="8" spans="1:16" ht="22" customHeight="1">
      <c r="C8" s="37"/>
      <c r="D8" s="37"/>
      <c r="E8" s="37"/>
      <c r="F8" s="37"/>
      <c r="H8" s="37"/>
      <c r="I8" s="37"/>
      <c r="J8" s="37"/>
      <c r="K8" s="37"/>
      <c r="M8" s="37"/>
      <c r="N8" s="37"/>
      <c r="O8" s="37"/>
      <c r="P8" s="37"/>
    </row>
    <row r="9" spans="1:16" ht="22" customHeight="1">
      <c r="C9" s="57">
        <v>19</v>
      </c>
      <c r="D9" s="57"/>
      <c r="E9" s="57"/>
      <c r="F9" s="57"/>
      <c r="H9" s="87">
        <v>0</v>
      </c>
      <c r="I9" s="87"/>
      <c r="J9" s="87"/>
      <c r="K9" s="87"/>
      <c r="M9" s="60">
        <v>0</v>
      </c>
      <c r="N9" s="60"/>
      <c r="O9" s="60"/>
      <c r="P9" s="60"/>
    </row>
    <row r="10" spans="1:16" ht="22" customHeight="1">
      <c r="C10" s="57"/>
      <c r="D10" s="57"/>
      <c r="E10" s="57"/>
      <c r="F10" s="57"/>
      <c r="H10" s="87"/>
      <c r="I10" s="87"/>
      <c r="J10" s="87"/>
      <c r="K10" s="87"/>
      <c r="M10" s="60"/>
      <c r="N10" s="60"/>
      <c r="O10" s="60"/>
      <c r="P10" s="60"/>
    </row>
    <row r="11" spans="1:16" ht="22" customHeight="1"/>
    <row r="12" spans="1:16" ht="22" customHeight="1">
      <c r="C12" s="69" t="s">
        <v>121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</row>
    <row r="13" spans="1:16" ht="22" customHeight="1"/>
    <row r="14" spans="1:16" ht="22" customHeight="1"/>
    <row r="15" spans="1:16" ht="22" customHeight="1"/>
    <row r="16" spans="1:16" ht="22" customHeight="1"/>
    <row r="17" spans="3:16" ht="22" customHeight="1"/>
    <row r="18" spans="3:16" ht="22" customHeight="1"/>
    <row r="19" spans="3:16" ht="22" customHeight="1">
      <c r="C19" s="71" t="s">
        <v>122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</row>
    <row r="20" spans="3:16" ht="22" customHeight="1"/>
    <row r="21" spans="3:16" ht="22" customHeight="1">
      <c r="C21" s="73" t="s">
        <v>89</v>
      </c>
      <c r="D21" s="74"/>
      <c r="E21" s="88"/>
      <c r="F21" s="88"/>
      <c r="G21" s="88"/>
      <c r="H21" s="88"/>
      <c r="I21" s="88"/>
      <c r="J21" s="88"/>
    </row>
    <row r="22" spans="3:16" ht="22" customHeight="1">
      <c r="C22" s="74"/>
      <c r="D22" s="74"/>
      <c r="E22" s="88"/>
      <c r="F22" s="88"/>
      <c r="G22" s="88"/>
      <c r="H22" s="88"/>
      <c r="I22" s="88"/>
      <c r="J22" s="88"/>
    </row>
    <row r="23" spans="3:16" ht="22" customHeight="1"/>
    <row r="24" spans="3:16" ht="22" customHeight="1">
      <c r="C24" s="76" t="s">
        <v>23</v>
      </c>
      <c r="D24" s="76"/>
      <c r="E24" s="89" t="s">
        <v>104</v>
      </c>
      <c r="F24" s="89"/>
      <c r="G24" s="76" t="s">
        <v>22</v>
      </c>
      <c r="H24" s="76"/>
      <c r="I24" s="76" t="s">
        <v>123</v>
      </c>
      <c r="J24" s="76"/>
      <c r="K24" s="76"/>
      <c r="L24" s="89" t="s">
        <v>124</v>
      </c>
      <c r="M24" s="89"/>
      <c r="N24" s="76" t="s">
        <v>3</v>
      </c>
      <c r="O24" s="76"/>
      <c r="P24" s="76"/>
    </row>
    <row r="25" spans="3:16" ht="22" customHeight="1">
      <c r="C25" s="76"/>
      <c r="D25" s="76"/>
      <c r="E25" s="89"/>
      <c r="F25" s="89"/>
      <c r="G25" s="76"/>
      <c r="H25" s="76"/>
      <c r="I25" s="76"/>
      <c r="J25" s="76"/>
      <c r="K25" s="76"/>
      <c r="L25" s="89"/>
      <c r="M25" s="89"/>
      <c r="N25" s="76"/>
      <c r="O25" s="76"/>
      <c r="P25" s="76"/>
    </row>
    <row r="26" spans="3:16" ht="25" customHeight="1">
      <c r="C26" s="93">
        <v>46252</v>
      </c>
      <c r="D26" s="62"/>
      <c r="E26" s="93" t="s">
        <v>107</v>
      </c>
      <c r="F26" s="94"/>
      <c r="G26" s="82" t="s">
        <v>94</v>
      </c>
      <c r="H26" s="82"/>
      <c r="I26" s="82" t="s">
        <v>56</v>
      </c>
      <c r="J26" s="82"/>
      <c r="K26" s="82"/>
      <c r="L26" s="95">
        <v>46344</v>
      </c>
      <c r="M26" s="96"/>
      <c r="N26" s="97" t="s">
        <v>129</v>
      </c>
      <c r="O26" s="98"/>
      <c r="P26" s="99"/>
    </row>
    <row r="27" spans="3:16" ht="25" customHeight="1">
      <c r="C27" s="90">
        <v>46252</v>
      </c>
      <c r="D27" s="84"/>
      <c r="E27" s="90" t="s">
        <v>269</v>
      </c>
      <c r="F27" s="90"/>
      <c r="G27" s="82" t="s">
        <v>94</v>
      </c>
      <c r="H27" s="82"/>
      <c r="I27" s="82" t="s">
        <v>58</v>
      </c>
      <c r="J27" s="82"/>
      <c r="K27" s="82"/>
      <c r="L27" s="91">
        <v>46344</v>
      </c>
      <c r="M27" s="91"/>
      <c r="N27" s="184" t="s">
        <v>149</v>
      </c>
      <c r="O27" s="184"/>
      <c r="P27" s="184"/>
    </row>
    <row r="28" spans="3:16" ht="25" customHeight="1">
      <c r="C28" s="90">
        <v>46259</v>
      </c>
      <c r="D28" s="84"/>
      <c r="E28" s="90" t="s">
        <v>280</v>
      </c>
      <c r="F28" s="90"/>
      <c r="G28" s="82" t="s">
        <v>277</v>
      </c>
      <c r="H28" s="82"/>
      <c r="I28" s="82" t="s">
        <v>56</v>
      </c>
      <c r="J28" s="82"/>
      <c r="K28" s="82"/>
      <c r="L28" s="91">
        <v>46351</v>
      </c>
      <c r="M28" s="91"/>
      <c r="N28" s="92" t="s">
        <v>129</v>
      </c>
      <c r="O28" s="92"/>
      <c r="P28" s="92"/>
    </row>
    <row r="29" spans="3:16" ht="25" customHeight="1">
      <c r="C29" s="90"/>
      <c r="D29" s="84"/>
      <c r="E29" s="90"/>
      <c r="F29" s="90"/>
      <c r="G29" s="82"/>
      <c r="H29" s="82"/>
      <c r="I29" s="82"/>
      <c r="J29" s="82"/>
      <c r="K29" s="82"/>
      <c r="L29" s="90"/>
      <c r="M29" s="90"/>
      <c r="N29" s="84"/>
      <c r="O29" s="84"/>
      <c r="P29" s="84"/>
    </row>
    <row r="30" spans="3:16" ht="25" customHeight="1">
      <c r="C30" s="90"/>
      <c r="D30" s="84"/>
      <c r="E30" s="90"/>
      <c r="F30" s="90"/>
      <c r="G30" s="82"/>
      <c r="H30" s="82"/>
      <c r="I30" s="82"/>
      <c r="J30" s="82"/>
      <c r="K30" s="82"/>
      <c r="L30" s="90"/>
      <c r="M30" s="90"/>
      <c r="N30" s="84"/>
      <c r="O30" s="84"/>
      <c r="P30" s="84"/>
    </row>
    <row r="31" spans="3:16" ht="25" customHeight="1">
      <c r="C31" s="90"/>
      <c r="D31" s="84"/>
      <c r="E31" s="90"/>
      <c r="F31" s="90"/>
      <c r="G31" s="82"/>
      <c r="H31" s="82"/>
      <c r="I31" s="82"/>
      <c r="J31" s="82"/>
      <c r="K31" s="82"/>
      <c r="L31" s="90"/>
      <c r="M31" s="90"/>
      <c r="N31" s="84"/>
      <c r="O31" s="84"/>
      <c r="P31" s="84"/>
    </row>
    <row r="32" spans="3:16" ht="25" customHeight="1">
      <c r="C32" s="90"/>
      <c r="D32" s="84"/>
      <c r="E32" s="90"/>
      <c r="F32" s="90"/>
      <c r="G32" s="82"/>
      <c r="H32" s="82"/>
      <c r="I32" s="82"/>
      <c r="J32" s="82"/>
      <c r="K32" s="82"/>
      <c r="L32" s="90"/>
      <c r="M32" s="90"/>
      <c r="N32" s="84"/>
      <c r="O32" s="84"/>
      <c r="P32" s="84"/>
    </row>
    <row r="33" spans="3:16" ht="25" customHeight="1">
      <c r="C33" s="90"/>
      <c r="D33" s="84"/>
      <c r="E33" s="90"/>
      <c r="F33" s="90"/>
      <c r="G33" s="82"/>
      <c r="H33" s="82"/>
      <c r="I33" s="82"/>
      <c r="J33" s="82"/>
      <c r="K33" s="82"/>
      <c r="L33" s="90"/>
      <c r="M33" s="90"/>
      <c r="N33" s="84"/>
      <c r="O33" s="84"/>
      <c r="P33" s="84"/>
    </row>
    <row r="34" spans="3:16" ht="25" customHeight="1">
      <c r="C34" s="90"/>
      <c r="D34" s="84"/>
      <c r="E34" s="90"/>
      <c r="F34" s="90"/>
      <c r="G34" s="82"/>
      <c r="H34" s="82"/>
      <c r="I34" s="82"/>
      <c r="J34" s="82"/>
      <c r="K34" s="82"/>
      <c r="L34" s="90"/>
      <c r="M34" s="90"/>
      <c r="N34" s="84"/>
      <c r="O34" s="84"/>
      <c r="P34" s="84"/>
    </row>
    <row r="35" spans="3:16" ht="25" customHeight="1">
      <c r="C35" s="90"/>
      <c r="D35" s="84"/>
      <c r="E35" s="90"/>
      <c r="F35" s="90"/>
      <c r="G35" s="82"/>
      <c r="H35" s="82"/>
      <c r="I35" s="82"/>
      <c r="J35" s="82"/>
      <c r="K35" s="82"/>
      <c r="L35" s="90"/>
      <c r="M35" s="90"/>
      <c r="N35" s="84"/>
      <c r="O35" s="84"/>
      <c r="P35" s="84"/>
    </row>
    <row r="36" spans="3:16" ht="25" customHeight="1">
      <c r="C36" s="90"/>
      <c r="D36" s="84"/>
      <c r="E36" s="90"/>
      <c r="F36" s="90"/>
      <c r="G36" s="82"/>
      <c r="H36" s="82"/>
      <c r="I36" s="82"/>
      <c r="J36" s="82"/>
      <c r="K36" s="82"/>
      <c r="L36" s="90"/>
      <c r="M36" s="90"/>
      <c r="N36" s="84"/>
      <c r="O36" s="84"/>
      <c r="P36" s="84"/>
    </row>
    <row r="37" spans="3:16" ht="25" customHeight="1">
      <c r="C37" s="90"/>
      <c r="D37" s="84"/>
      <c r="E37" s="90"/>
      <c r="F37" s="90"/>
      <c r="G37" s="82"/>
      <c r="H37" s="82"/>
      <c r="I37" s="82"/>
      <c r="J37" s="82"/>
      <c r="K37" s="82"/>
      <c r="L37" s="90"/>
      <c r="M37" s="90"/>
      <c r="N37" s="84"/>
      <c r="O37" s="84"/>
      <c r="P37" s="84"/>
    </row>
    <row r="38" spans="3:16" ht="25" customHeight="1">
      <c r="C38" s="90"/>
      <c r="D38" s="84"/>
      <c r="E38" s="90"/>
      <c r="F38" s="90"/>
      <c r="G38" s="82"/>
      <c r="H38" s="82"/>
      <c r="I38" s="82"/>
      <c r="J38" s="82"/>
      <c r="K38" s="82"/>
      <c r="L38" s="90"/>
      <c r="M38" s="90"/>
      <c r="N38" s="84"/>
      <c r="O38" s="84"/>
      <c r="P38" s="84"/>
    </row>
    <row r="39" spans="3:16" ht="25" customHeight="1">
      <c r="C39" s="90"/>
      <c r="D39" s="84"/>
      <c r="E39" s="90"/>
      <c r="F39" s="90"/>
      <c r="G39" s="82"/>
      <c r="H39" s="82"/>
      <c r="I39" s="82"/>
      <c r="J39" s="82"/>
      <c r="K39" s="82"/>
      <c r="L39" s="90"/>
      <c r="M39" s="90"/>
      <c r="N39" s="84"/>
      <c r="O39" s="84"/>
      <c r="P39" s="84"/>
    </row>
    <row r="40" spans="3:16" ht="25" customHeight="1">
      <c r="C40" s="90"/>
      <c r="D40" s="84"/>
      <c r="E40" s="90"/>
      <c r="F40" s="90"/>
      <c r="G40" s="82"/>
      <c r="H40" s="82"/>
      <c r="I40" s="82"/>
      <c r="J40" s="82"/>
      <c r="K40" s="82"/>
      <c r="L40" s="90"/>
      <c r="M40" s="90"/>
      <c r="N40" s="84"/>
      <c r="O40" s="84"/>
      <c r="P40" s="84"/>
    </row>
    <row r="41" spans="3:16" ht="25" customHeight="1">
      <c r="C41" s="90"/>
      <c r="D41" s="84"/>
      <c r="E41" s="90"/>
      <c r="F41" s="90"/>
      <c r="G41" s="82"/>
      <c r="H41" s="82"/>
      <c r="I41" s="82"/>
      <c r="J41" s="82"/>
      <c r="K41" s="82"/>
      <c r="L41" s="90"/>
      <c r="M41" s="90"/>
      <c r="N41" s="84"/>
      <c r="O41" s="84"/>
      <c r="P41" s="84"/>
    </row>
    <row r="42" spans="3:16" ht="22" customHeight="1">
      <c r="C42" s="18" t="s">
        <v>292</v>
      </c>
      <c r="D42" s="18"/>
      <c r="E42" s="19"/>
      <c r="F42" s="18"/>
      <c r="G42" s="18"/>
      <c r="H42" s="18"/>
      <c r="I42" s="18"/>
      <c r="J42" s="18"/>
      <c r="K42" s="20"/>
      <c r="L42" s="19"/>
      <c r="M42" s="18"/>
      <c r="N42" s="18"/>
      <c r="O42" s="18"/>
      <c r="P42" s="18"/>
    </row>
    <row r="43" spans="3:16" ht="22" customHeight="1"/>
    <row r="44" spans="3:16" ht="22" customHeight="1">
      <c r="M44" s="86" t="s">
        <v>125</v>
      </c>
      <c r="N44" s="86"/>
      <c r="O44" s="86"/>
      <c r="P44" s="86"/>
    </row>
    <row r="45" spans="3:16" ht="22" customHeight="1">
      <c r="M45" s="86"/>
      <c r="N45" s="86"/>
      <c r="O45" s="86"/>
      <c r="P45" s="86"/>
    </row>
    <row r="46" spans="3:16" ht="22" customHeight="1">
      <c r="M46" s="86"/>
      <c r="N46" s="86"/>
      <c r="O46" s="86"/>
      <c r="P46" s="86"/>
    </row>
    <row r="47" spans="3:16" ht="22" customHeight="1"/>
    <row r="48" spans="3:16" ht="22" customHeight="1"/>
    <row r="49" spans="1:14" ht="22" customHeight="1"/>
    <row r="50" spans="1:14" ht="22" customHeight="1"/>
    <row r="51" spans="1:14" ht="22" customHeight="1"/>
    <row r="52" spans="1:14" ht="22" customHeight="1"/>
    <row r="53" spans="1:14"/>
    <row r="54" spans="1:14"/>
    <row r="55" spans="1:14"/>
    <row r="56" spans="1:14"/>
    <row r="57" spans="1:14"/>
    <row r="58" spans="1:14"/>
    <row r="59" spans="1:14" hidden="1"/>
    <row r="60" spans="1:14" s="12" customFormat="1" hidden="1">
      <c r="A60" s="12" t="s">
        <v>21</v>
      </c>
      <c r="B60" s="12" t="s">
        <v>6</v>
      </c>
      <c r="C60" s="12" t="s">
        <v>22</v>
      </c>
      <c r="D60" s="12" t="s">
        <v>8</v>
      </c>
      <c r="E60" s="13" t="s">
        <v>23</v>
      </c>
      <c r="F60" s="12" t="s">
        <v>24</v>
      </c>
      <c r="G60" s="12" t="s">
        <v>25</v>
      </c>
      <c r="H60" s="12" t="s">
        <v>26</v>
      </c>
      <c r="I60" s="12" t="s">
        <v>27</v>
      </c>
      <c r="J60" s="12" t="s">
        <v>28</v>
      </c>
      <c r="K60" s="21" t="s">
        <v>29</v>
      </c>
      <c r="L60" s="13" t="s">
        <v>30</v>
      </c>
      <c r="M60" s="12" t="s">
        <v>3</v>
      </c>
      <c r="N60" s="12" t="s">
        <v>5</v>
      </c>
    </row>
    <row r="61" spans="1:14" hidden="1"/>
    <row r="62" spans="1:14" hidden="1">
      <c r="A62" s="33" t="s">
        <v>126</v>
      </c>
      <c r="B62" s="33" t="s">
        <v>107</v>
      </c>
      <c r="C62" s="33" t="s">
        <v>94</v>
      </c>
      <c r="D62" s="33" t="s">
        <v>109</v>
      </c>
      <c r="E62" s="10">
        <v>46247</v>
      </c>
      <c r="F62" s="33" t="s">
        <v>56</v>
      </c>
      <c r="G62" s="33" t="s">
        <v>127</v>
      </c>
      <c r="H62" s="33" t="s">
        <v>128</v>
      </c>
      <c r="K62" s="17">
        <v>0</v>
      </c>
      <c r="L62" s="10">
        <v>46339</v>
      </c>
      <c r="M62" s="33" t="s">
        <v>129</v>
      </c>
    </row>
    <row r="63" spans="1:14" hidden="1">
      <c r="A63" s="33" t="s">
        <v>138</v>
      </c>
      <c r="B63" s="33" t="s">
        <v>113</v>
      </c>
      <c r="C63" s="33" t="s">
        <v>98</v>
      </c>
      <c r="D63" s="33" t="s">
        <v>115</v>
      </c>
      <c r="E63" s="10">
        <v>46247</v>
      </c>
      <c r="F63" s="33" t="s">
        <v>56</v>
      </c>
      <c r="G63" s="33" t="s">
        <v>139</v>
      </c>
      <c r="H63" s="33" t="s">
        <v>140</v>
      </c>
      <c r="J63" s="33" t="s">
        <v>141</v>
      </c>
      <c r="K63" s="17">
        <v>1000</v>
      </c>
      <c r="L63" s="10">
        <v>46339</v>
      </c>
      <c r="M63" s="33" t="s">
        <v>129</v>
      </c>
    </row>
    <row r="64" spans="1:14" hidden="1">
      <c r="A64" s="33" t="s">
        <v>155</v>
      </c>
      <c r="B64" s="33" t="s">
        <v>113</v>
      </c>
      <c r="C64" s="33" t="s">
        <v>98</v>
      </c>
      <c r="D64" s="33" t="s">
        <v>115</v>
      </c>
      <c r="E64" s="10">
        <v>46247</v>
      </c>
      <c r="F64" s="33" t="s">
        <v>57</v>
      </c>
      <c r="G64" s="33" t="s">
        <v>151</v>
      </c>
      <c r="H64" s="33" t="s">
        <v>152</v>
      </c>
      <c r="J64" s="33" t="s">
        <v>153</v>
      </c>
      <c r="K64" s="17">
        <v>500</v>
      </c>
      <c r="L64" s="10">
        <v>46339</v>
      </c>
      <c r="M64" s="33" t="s">
        <v>129</v>
      </c>
      <c r="N64" s="33" t="s">
        <v>154</v>
      </c>
    </row>
    <row r="65" spans="1:14" hidden="1">
      <c r="A65" s="33" t="s">
        <v>180</v>
      </c>
      <c r="B65" s="33" t="s">
        <v>175</v>
      </c>
      <c r="C65" s="33" t="s">
        <v>157</v>
      </c>
      <c r="D65" s="33" t="s">
        <v>176</v>
      </c>
      <c r="E65" s="10">
        <v>46249</v>
      </c>
      <c r="F65" s="33" t="s">
        <v>60</v>
      </c>
      <c r="G65" s="33" t="s">
        <v>127</v>
      </c>
      <c r="H65" s="33" t="s">
        <v>179</v>
      </c>
      <c r="I65" s="33" t="s">
        <v>178</v>
      </c>
      <c r="J65" s="33" t="s">
        <v>153</v>
      </c>
      <c r="K65" s="17">
        <v>100</v>
      </c>
      <c r="L65" s="10">
        <v>46341</v>
      </c>
      <c r="M65" s="33" t="s">
        <v>129</v>
      </c>
    </row>
    <row r="66" spans="1:14" hidden="1">
      <c r="A66" s="33" t="s">
        <v>183</v>
      </c>
      <c r="B66" s="33" t="s">
        <v>175</v>
      </c>
      <c r="C66" s="33" t="s">
        <v>157</v>
      </c>
      <c r="D66" s="33" t="s">
        <v>176</v>
      </c>
      <c r="E66" s="10">
        <v>46249</v>
      </c>
      <c r="F66" s="33" t="s">
        <v>60</v>
      </c>
      <c r="G66" s="33" t="s">
        <v>181</v>
      </c>
      <c r="H66" s="33" t="s">
        <v>182</v>
      </c>
      <c r="I66" s="33" t="s">
        <v>178</v>
      </c>
      <c r="J66" s="33" t="s">
        <v>153</v>
      </c>
      <c r="K66" s="17">
        <v>1000</v>
      </c>
      <c r="L66" s="10">
        <v>46341</v>
      </c>
      <c r="M66" s="33" t="s">
        <v>129</v>
      </c>
    </row>
    <row r="67" spans="1:14" hidden="1">
      <c r="A67" s="33" t="s">
        <v>188</v>
      </c>
      <c r="B67" s="33" t="s">
        <v>175</v>
      </c>
      <c r="C67" s="33" t="s">
        <v>157</v>
      </c>
      <c r="D67" s="33" t="s">
        <v>176</v>
      </c>
      <c r="E67" s="10">
        <v>46244</v>
      </c>
      <c r="F67" s="33" t="s">
        <v>56</v>
      </c>
      <c r="G67" s="33" t="s">
        <v>184</v>
      </c>
      <c r="H67" s="33" t="s">
        <v>185</v>
      </c>
      <c r="I67" s="33" t="s">
        <v>186</v>
      </c>
      <c r="J67" s="33" t="s">
        <v>187</v>
      </c>
      <c r="K67" s="17">
        <v>500</v>
      </c>
      <c r="L67" s="10">
        <v>46341</v>
      </c>
      <c r="M67" s="33" t="s">
        <v>129</v>
      </c>
    </row>
    <row r="68" spans="1:14" hidden="1">
      <c r="A68" s="33" t="s">
        <v>189</v>
      </c>
      <c r="B68" s="33" t="s">
        <v>175</v>
      </c>
      <c r="C68" s="33" t="s">
        <v>157</v>
      </c>
      <c r="D68" s="33" t="s">
        <v>176</v>
      </c>
      <c r="E68" s="10">
        <v>46249</v>
      </c>
      <c r="F68" s="33" t="s">
        <v>58</v>
      </c>
      <c r="G68" s="33" t="s">
        <v>139</v>
      </c>
      <c r="H68" s="33" t="s">
        <v>190</v>
      </c>
      <c r="J68" s="33" t="s">
        <v>191</v>
      </c>
      <c r="K68" s="17">
        <v>100</v>
      </c>
      <c r="L68" s="10">
        <v>46341</v>
      </c>
      <c r="M68" s="33" t="s">
        <v>129</v>
      </c>
    </row>
    <row r="69" spans="1:14" hidden="1">
      <c r="A69" s="33" t="s">
        <v>203</v>
      </c>
      <c r="B69" s="33" t="s">
        <v>201</v>
      </c>
      <c r="C69" s="33" t="s">
        <v>94</v>
      </c>
      <c r="D69" s="33">
        <v>1312</v>
      </c>
      <c r="E69" s="10">
        <v>46252</v>
      </c>
      <c r="F69" s="33" t="s">
        <v>56</v>
      </c>
      <c r="K69" s="17">
        <v>0</v>
      </c>
      <c r="L69" s="10">
        <v>46344</v>
      </c>
      <c r="M69" s="33" t="s">
        <v>129</v>
      </c>
    </row>
    <row r="70" spans="1:14" hidden="1">
      <c r="A70" s="33" t="s">
        <v>204</v>
      </c>
      <c r="B70" s="33" t="s">
        <v>175</v>
      </c>
      <c r="C70" s="33" t="s">
        <v>157</v>
      </c>
      <c r="D70" s="33" t="s">
        <v>176</v>
      </c>
      <c r="E70" s="10">
        <v>46252</v>
      </c>
      <c r="F70" s="33" t="s">
        <v>56</v>
      </c>
      <c r="K70" s="17">
        <v>0</v>
      </c>
      <c r="L70" s="10">
        <v>46344</v>
      </c>
      <c r="M70" s="33" t="s">
        <v>129</v>
      </c>
    </row>
    <row r="71" spans="1:14" hidden="1">
      <c r="A71" s="33" t="s">
        <v>205</v>
      </c>
      <c r="B71" s="33" t="s">
        <v>174</v>
      </c>
      <c r="C71" s="33" t="s">
        <v>157</v>
      </c>
      <c r="D71" s="33" t="s">
        <v>157</v>
      </c>
      <c r="E71" s="10">
        <v>46252</v>
      </c>
      <c r="F71" s="33" t="s">
        <v>56</v>
      </c>
      <c r="K71" s="17">
        <v>0</v>
      </c>
      <c r="L71" s="10">
        <v>46344</v>
      </c>
      <c r="M71" s="33" t="s">
        <v>129</v>
      </c>
    </row>
    <row r="72" spans="1:14" hidden="1">
      <c r="A72" s="33" t="s">
        <v>206</v>
      </c>
      <c r="B72" s="33" t="s">
        <v>113</v>
      </c>
      <c r="C72" s="33" t="s">
        <v>98</v>
      </c>
      <c r="D72" s="33" t="s">
        <v>115</v>
      </c>
      <c r="E72" s="10">
        <v>46252</v>
      </c>
      <c r="F72" s="33" t="s">
        <v>56</v>
      </c>
      <c r="K72" s="17">
        <v>0</v>
      </c>
      <c r="L72" s="10">
        <v>46344</v>
      </c>
      <c r="M72" s="33" t="s">
        <v>129</v>
      </c>
    </row>
    <row r="73" spans="1:14" hidden="1">
      <c r="A73" s="33" t="s">
        <v>207</v>
      </c>
      <c r="B73" s="33" t="s">
        <v>107</v>
      </c>
      <c r="C73" s="33" t="s">
        <v>94</v>
      </c>
      <c r="D73" s="33" t="s">
        <v>109</v>
      </c>
      <c r="E73" s="10">
        <v>46252</v>
      </c>
      <c r="F73" s="33" t="s">
        <v>56</v>
      </c>
      <c r="K73" s="17">
        <v>0</v>
      </c>
      <c r="L73" s="10">
        <v>46344</v>
      </c>
      <c r="M73" s="33" t="s">
        <v>129</v>
      </c>
    </row>
    <row r="74" spans="1:14" hidden="1">
      <c r="A74" s="33" t="s">
        <v>208</v>
      </c>
      <c r="B74" s="33" t="s">
        <v>201</v>
      </c>
      <c r="C74" s="33" t="s">
        <v>94</v>
      </c>
      <c r="D74" s="33">
        <v>1312</v>
      </c>
      <c r="E74" s="10">
        <v>46252</v>
      </c>
      <c r="F74" s="33" t="s">
        <v>56</v>
      </c>
      <c r="K74" s="17">
        <v>0</v>
      </c>
      <c r="L74" s="10">
        <v>46344</v>
      </c>
      <c r="M74" s="33" t="s">
        <v>129</v>
      </c>
    </row>
    <row r="75" spans="1:14" hidden="1">
      <c r="A75" s="33" t="s">
        <v>209</v>
      </c>
      <c r="B75" s="33" t="s">
        <v>175</v>
      </c>
      <c r="C75" s="33" t="s">
        <v>157</v>
      </c>
      <c r="D75" s="33" t="s">
        <v>176</v>
      </c>
      <c r="E75" s="10">
        <v>46252</v>
      </c>
      <c r="F75" s="33" t="s">
        <v>56</v>
      </c>
      <c r="K75" s="17">
        <v>0</v>
      </c>
      <c r="L75" s="10">
        <v>46344</v>
      </c>
      <c r="M75" s="33" t="s">
        <v>129</v>
      </c>
    </row>
    <row r="76" spans="1:14" hidden="1">
      <c r="A76" s="33" t="s">
        <v>210</v>
      </c>
      <c r="B76" s="33" t="s">
        <v>174</v>
      </c>
      <c r="C76" s="33" t="s">
        <v>157</v>
      </c>
      <c r="D76" s="33" t="s">
        <v>157</v>
      </c>
      <c r="E76" s="10">
        <v>46252</v>
      </c>
      <c r="F76" s="33" t="s">
        <v>56</v>
      </c>
      <c r="K76" s="17">
        <v>0</v>
      </c>
      <c r="L76" s="10">
        <v>46344</v>
      </c>
      <c r="M76" s="33" t="s">
        <v>129</v>
      </c>
    </row>
    <row r="77" spans="1:14" hidden="1">
      <c r="A77" s="33" t="s">
        <v>211</v>
      </c>
      <c r="B77" s="33" t="s">
        <v>113</v>
      </c>
      <c r="C77" s="33" t="s">
        <v>98</v>
      </c>
      <c r="D77" s="33" t="s">
        <v>115</v>
      </c>
      <c r="E77" s="10">
        <v>46252</v>
      </c>
      <c r="F77" s="33" t="s">
        <v>56</v>
      </c>
      <c r="K77" s="17">
        <v>0</v>
      </c>
      <c r="L77" s="10">
        <v>46344</v>
      </c>
      <c r="M77" s="33" t="s">
        <v>129</v>
      </c>
    </row>
    <row r="78" spans="1:14" hidden="1">
      <c r="A78" s="33" t="s">
        <v>212</v>
      </c>
      <c r="B78" s="33" t="s">
        <v>107</v>
      </c>
      <c r="C78" s="33" t="s">
        <v>94</v>
      </c>
      <c r="D78" s="33" t="s">
        <v>109</v>
      </c>
      <c r="E78" s="10">
        <v>46252</v>
      </c>
      <c r="F78" s="33" t="s">
        <v>56</v>
      </c>
      <c r="K78" s="17">
        <v>0</v>
      </c>
      <c r="L78" s="10">
        <v>46344</v>
      </c>
      <c r="M78" s="33" t="s">
        <v>129</v>
      </c>
    </row>
    <row r="79" spans="1:14" hidden="1">
      <c r="A79" s="33" t="s">
        <v>268</v>
      </c>
      <c r="B79" s="33" t="s">
        <v>269</v>
      </c>
      <c r="C79" s="33" t="s">
        <v>94</v>
      </c>
      <c r="D79" s="33">
        <v>1</v>
      </c>
      <c r="E79" s="10">
        <v>46252</v>
      </c>
      <c r="F79" s="33" t="s">
        <v>58</v>
      </c>
      <c r="G79" s="33" t="s">
        <v>271</v>
      </c>
      <c r="H79" s="33" t="s">
        <v>272</v>
      </c>
      <c r="I79" s="33" t="s">
        <v>273</v>
      </c>
      <c r="J79" s="33" t="s">
        <v>274</v>
      </c>
      <c r="K79" s="17">
        <v>500</v>
      </c>
      <c r="L79" s="10">
        <v>46344</v>
      </c>
      <c r="M79" s="33" t="s">
        <v>149</v>
      </c>
      <c r="N79" s="33" t="s">
        <v>275</v>
      </c>
    </row>
    <row r="80" spans="1:14" hidden="1">
      <c r="A80" s="33" t="s">
        <v>291</v>
      </c>
      <c r="B80" s="33" t="s">
        <v>280</v>
      </c>
      <c r="C80" s="33" t="s">
        <v>277</v>
      </c>
      <c r="D80" s="33" t="s">
        <v>282</v>
      </c>
      <c r="E80" s="10">
        <v>46259</v>
      </c>
      <c r="F80" s="33" t="s">
        <v>56</v>
      </c>
      <c r="G80" s="33" t="s">
        <v>287</v>
      </c>
      <c r="H80" s="33" t="s">
        <v>288</v>
      </c>
      <c r="I80" s="33" t="s">
        <v>289</v>
      </c>
      <c r="J80" s="33" t="s">
        <v>290</v>
      </c>
      <c r="K80" s="17">
        <v>1000</v>
      </c>
      <c r="L80" s="10">
        <v>46351</v>
      </c>
      <c r="M80" s="33" t="s">
        <v>129</v>
      </c>
    </row>
    <row r="81" hidden="1"/>
  </sheetData>
  <sheetProtection password="C38A" sheet="1" scenarios="1" autoFilter="0"/>
  <mergeCells count="115">
    <mergeCell ref="M44:P46"/>
    <mergeCell ref="C41:D41"/>
    <mergeCell ref="E41:F41"/>
    <mergeCell ref="G41:H41"/>
    <mergeCell ref="I41:K41"/>
    <mergeCell ref="L41:M41"/>
    <mergeCell ref="N41:P41"/>
    <mergeCell ref="C40:D40"/>
    <mergeCell ref="E40:F40"/>
    <mergeCell ref="G40:H40"/>
    <mergeCell ref="I40:K40"/>
    <mergeCell ref="L40:M40"/>
    <mergeCell ref="N40:P40"/>
    <mergeCell ref="C39:D39"/>
    <mergeCell ref="E39:F39"/>
    <mergeCell ref="G39:H39"/>
    <mergeCell ref="I39:K39"/>
    <mergeCell ref="L39:M39"/>
    <mergeCell ref="N39:P39"/>
    <mergeCell ref="C38:D38"/>
    <mergeCell ref="E38:F38"/>
    <mergeCell ref="G38:H38"/>
    <mergeCell ref="I38:K38"/>
    <mergeCell ref="L38:M38"/>
    <mergeCell ref="N38:P38"/>
    <mergeCell ref="C37:D37"/>
    <mergeCell ref="E37:F37"/>
    <mergeCell ref="G37:H37"/>
    <mergeCell ref="I37:K37"/>
    <mergeCell ref="L37:M37"/>
    <mergeCell ref="N37:P37"/>
    <mergeCell ref="C36:D36"/>
    <mergeCell ref="E36:F36"/>
    <mergeCell ref="G36:H36"/>
    <mergeCell ref="I36:K36"/>
    <mergeCell ref="L36:M36"/>
    <mergeCell ref="N36:P36"/>
    <mergeCell ref="C35:D35"/>
    <mergeCell ref="E35:F35"/>
    <mergeCell ref="G35:H35"/>
    <mergeCell ref="I35:K35"/>
    <mergeCell ref="L35:M35"/>
    <mergeCell ref="N35:P35"/>
    <mergeCell ref="C34:D34"/>
    <mergeCell ref="E34:F34"/>
    <mergeCell ref="G34:H34"/>
    <mergeCell ref="I34:K34"/>
    <mergeCell ref="L34:M34"/>
    <mergeCell ref="N34:P34"/>
    <mergeCell ref="C33:D33"/>
    <mergeCell ref="E33:F33"/>
    <mergeCell ref="G33:H33"/>
    <mergeCell ref="I33:K33"/>
    <mergeCell ref="L33:M33"/>
    <mergeCell ref="N33:P33"/>
    <mergeCell ref="C32:D32"/>
    <mergeCell ref="E32:F32"/>
    <mergeCell ref="G32:H32"/>
    <mergeCell ref="I32:K32"/>
    <mergeCell ref="L32:M32"/>
    <mergeCell ref="N32:P32"/>
    <mergeCell ref="C31:D31"/>
    <mergeCell ref="E31:F31"/>
    <mergeCell ref="G31:H31"/>
    <mergeCell ref="I31:K31"/>
    <mergeCell ref="L31:M31"/>
    <mergeCell ref="N31:P31"/>
    <mergeCell ref="C30:D30"/>
    <mergeCell ref="E30:F30"/>
    <mergeCell ref="G30:H30"/>
    <mergeCell ref="I30:K30"/>
    <mergeCell ref="L30:M30"/>
    <mergeCell ref="N30:P30"/>
    <mergeCell ref="C29:D29"/>
    <mergeCell ref="E29:F29"/>
    <mergeCell ref="G29:H29"/>
    <mergeCell ref="I29:K29"/>
    <mergeCell ref="L29:M29"/>
    <mergeCell ref="N29:P29"/>
    <mergeCell ref="C28:D28"/>
    <mergeCell ref="E28:F28"/>
    <mergeCell ref="G28:H28"/>
    <mergeCell ref="I28:K28"/>
    <mergeCell ref="L28:M28"/>
    <mergeCell ref="N28:P28"/>
    <mergeCell ref="C27:D27"/>
    <mergeCell ref="E27:F27"/>
    <mergeCell ref="G27:H27"/>
    <mergeCell ref="I27:K27"/>
    <mergeCell ref="L27:M27"/>
    <mergeCell ref="N27:P27"/>
    <mergeCell ref="C26:D26"/>
    <mergeCell ref="E26:F26"/>
    <mergeCell ref="G26:H26"/>
    <mergeCell ref="I26:K26"/>
    <mergeCell ref="L26:M26"/>
    <mergeCell ref="N26:P26"/>
    <mergeCell ref="C19:P19"/>
    <mergeCell ref="C21:D22"/>
    <mergeCell ref="E21:J22"/>
    <mergeCell ref="C24:D25"/>
    <mergeCell ref="E24:F25"/>
    <mergeCell ref="G24:H25"/>
    <mergeCell ref="I24:K25"/>
    <mergeCell ref="L24:M25"/>
    <mergeCell ref="N24:P25"/>
    <mergeCell ref="C2:P4"/>
    <mergeCell ref="C5:P5"/>
    <mergeCell ref="C7:F8"/>
    <mergeCell ref="C9:F10"/>
    <mergeCell ref="H7:K8"/>
    <mergeCell ref="H9:K10"/>
    <mergeCell ref="M7:P8"/>
    <mergeCell ref="M9:P10"/>
    <mergeCell ref="C12:P1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17372-B278-444E-879C-8B75EC1EEFEB}">
  <sheetPr codeName="Sheet8"/>
  <dimension ref="C1:AB42"/>
  <sheetViews>
    <sheetView showGridLines="0" showRowColHeaders="0" zoomScale="70" zoomScaleNormal="70" workbookViewId="0">
      <selection activeCell="E19" sqref="E19:F19"/>
    </sheetView>
  </sheetViews>
  <sheetFormatPr defaultRowHeight="14.5"/>
  <cols>
    <col min="1" max="2" width="3.6328125" style="34" customWidth="1"/>
    <col min="3" max="4" width="13.6328125" style="34" customWidth="1"/>
    <col min="5" max="14" width="15.6328125" style="34" customWidth="1"/>
    <col min="15" max="16" width="13.6328125" style="34" customWidth="1"/>
    <col min="17" max="26" width="8.7265625" style="34"/>
    <col min="27" max="28" width="0" style="34" hidden="1" customWidth="1"/>
    <col min="29" max="16384" width="8.7265625" style="34"/>
  </cols>
  <sheetData>
    <row r="1" spans="3:28" ht="22" customHeight="1">
      <c r="AA1" s="34" t="s">
        <v>280</v>
      </c>
      <c r="AB1" s="34">
        <v>1</v>
      </c>
    </row>
    <row r="2" spans="3:28" ht="22" customHeight="1">
      <c r="C2" s="78" t="s">
        <v>130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</row>
    <row r="3" spans="3:28" ht="22" customHeight="1"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AA3" s="34" t="s">
        <v>133</v>
      </c>
    </row>
    <row r="4" spans="3:28" ht="22" customHeight="1"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AA4" s="34" t="s">
        <v>94</v>
      </c>
    </row>
    <row r="5" spans="3:28" ht="22" customHeight="1">
      <c r="C5" s="100" t="s">
        <v>131</v>
      </c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AA5" s="34" t="s">
        <v>98</v>
      </c>
    </row>
    <row r="6" spans="3:28" ht="22" customHeight="1">
      <c r="AA6" s="34" t="s">
        <v>157</v>
      </c>
    </row>
    <row r="7" spans="3:28" ht="22" customHeight="1">
      <c r="C7" s="102" t="s">
        <v>132</v>
      </c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</row>
    <row r="8" spans="3:28" ht="22" customHeight="1"/>
    <row r="9" spans="3:28" ht="22" customHeight="1">
      <c r="C9" s="104" t="s">
        <v>22</v>
      </c>
      <c r="D9" s="101"/>
      <c r="E9" s="105" t="s">
        <v>133</v>
      </c>
      <c r="F9" s="105"/>
      <c r="G9" s="105"/>
      <c r="H9" s="105"/>
      <c r="I9" s="105"/>
      <c r="J9" s="105"/>
    </row>
    <row r="10" spans="3:28" ht="22" customHeight="1">
      <c r="C10" s="101"/>
      <c r="D10" s="101"/>
      <c r="E10" s="105"/>
      <c r="F10" s="105"/>
      <c r="G10" s="105"/>
      <c r="H10" s="105"/>
      <c r="I10" s="105"/>
      <c r="J10" s="105"/>
    </row>
    <row r="11" spans="3:28" ht="22" customHeight="1"/>
    <row r="12" spans="3:28" ht="22" customHeight="1">
      <c r="C12" s="104" t="s">
        <v>89</v>
      </c>
      <c r="D12" s="101"/>
      <c r="E12" s="105" t="s">
        <v>284</v>
      </c>
      <c r="F12" s="105"/>
      <c r="G12" s="105"/>
      <c r="H12" s="105"/>
      <c r="I12" s="105"/>
      <c r="J12" s="105"/>
    </row>
    <row r="13" spans="3:28" ht="22" customHeight="1">
      <c r="C13" s="101"/>
      <c r="D13" s="101"/>
      <c r="E13" s="105"/>
      <c r="F13" s="105"/>
      <c r="G13" s="105"/>
      <c r="H13" s="105"/>
      <c r="I13" s="105"/>
      <c r="J13" s="105"/>
    </row>
    <row r="14" spans="3:28" ht="22" customHeight="1"/>
    <row r="15" spans="3:28" ht="22" customHeight="1">
      <c r="C15" s="102" t="s">
        <v>134</v>
      </c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</row>
    <row r="16" spans="3:28" ht="22" customHeight="1"/>
    <row r="17" spans="3:16" ht="22" customHeight="1">
      <c r="C17" s="76" t="s">
        <v>135</v>
      </c>
      <c r="D17" s="76"/>
      <c r="E17" s="76" t="s">
        <v>22</v>
      </c>
      <c r="F17" s="76"/>
      <c r="G17" s="76" t="s">
        <v>105</v>
      </c>
      <c r="H17" s="76"/>
      <c r="I17" s="76"/>
      <c r="J17" s="76" t="s">
        <v>9</v>
      </c>
      <c r="K17" s="76"/>
      <c r="L17" s="76" t="s">
        <v>13</v>
      </c>
      <c r="M17" s="76"/>
      <c r="N17" s="76" t="s">
        <v>3</v>
      </c>
      <c r="O17" s="76"/>
      <c r="P17" s="76"/>
    </row>
    <row r="18" spans="3:16" ht="22" customHeight="1"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</row>
    <row r="19" spans="3:16" ht="25" customHeight="1">
      <c r="C19" s="61" t="s">
        <v>280</v>
      </c>
      <c r="D19" s="62"/>
      <c r="E19" s="82" t="s">
        <v>277</v>
      </c>
      <c r="F19" s="82"/>
      <c r="G19" s="82" t="s">
        <v>282</v>
      </c>
      <c r="H19" s="82"/>
      <c r="I19" s="82"/>
      <c r="J19" s="84" t="s">
        <v>173</v>
      </c>
      <c r="K19" s="84"/>
      <c r="L19" s="61" t="s">
        <v>112</v>
      </c>
      <c r="M19" s="62"/>
      <c r="N19" s="66" t="s">
        <v>47</v>
      </c>
      <c r="O19" s="67"/>
      <c r="P19" s="68"/>
    </row>
    <row r="20" spans="3:16" ht="25" customHeight="1">
      <c r="C20" s="61"/>
      <c r="D20" s="62"/>
      <c r="E20" s="82"/>
      <c r="F20" s="82"/>
      <c r="G20" s="82"/>
      <c r="H20" s="82"/>
      <c r="I20" s="82"/>
      <c r="J20" s="84"/>
      <c r="K20" s="84"/>
      <c r="L20" s="61"/>
      <c r="M20" s="62"/>
      <c r="N20" s="61"/>
      <c r="O20" s="83"/>
      <c r="P20" s="62"/>
    </row>
    <row r="21" spans="3:16" ht="25" customHeight="1">
      <c r="C21" s="84"/>
      <c r="D21" s="84"/>
      <c r="E21" s="82"/>
      <c r="F21" s="82"/>
      <c r="G21" s="82"/>
      <c r="H21" s="82"/>
      <c r="I21" s="82"/>
      <c r="J21" s="84"/>
      <c r="K21" s="84"/>
      <c r="L21" s="84"/>
      <c r="M21" s="84"/>
      <c r="N21" s="84"/>
      <c r="O21" s="84"/>
      <c r="P21" s="84"/>
    </row>
    <row r="22" spans="3:16" ht="25" customHeight="1">
      <c r="C22" s="84"/>
      <c r="D22" s="84"/>
      <c r="E22" s="82"/>
      <c r="F22" s="82"/>
      <c r="G22" s="82"/>
      <c r="H22" s="82"/>
      <c r="I22" s="82"/>
      <c r="J22" s="84"/>
      <c r="K22" s="84"/>
      <c r="L22" s="84"/>
      <c r="M22" s="84"/>
      <c r="N22" s="84"/>
      <c r="O22" s="84"/>
      <c r="P22" s="84"/>
    </row>
    <row r="23" spans="3:16" ht="25" customHeight="1">
      <c r="C23" s="84"/>
      <c r="D23" s="84"/>
      <c r="E23" s="82"/>
      <c r="F23" s="82"/>
      <c r="G23" s="82"/>
      <c r="H23" s="82"/>
      <c r="I23" s="82"/>
      <c r="J23" s="84"/>
      <c r="K23" s="84"/>
      <c r="L23" s="84"/>
      <c r="M23" s="84"/>
      <c r="N23" s="84"/>
      <c r="O23" s="84"/>
      <c r="P23" s="84"/>
    </row>
    <row r="24" spans="3:16" ht="25" customHeight="1">
      <c r="C24" s="84"/>
      <c r="D24" s="84"/>
      <c r="E24" s="82"/>
      <c r="F24" s="82"/>
      <c r="G24" s="82"/>
      <c r="H24" s="82"/>
      <c r="I24" s="82"/>
      <c r="J24" s="84"/>
      <c r="K24" s="84"/>
      <c r="L24" s="84"/>
      <c r="M24" s="84"/>
      <c r="N24" s="84"/>
      <c r="O24" s="84"/>
      <c r="P24" s="84"/>
    </row>
    <row r="25" spans="3:16" ht="25" customHeight="1">
      <c r="C25" s="84"/>
      <c r="D25" s="84"/>
      <c r="E25" s="82"/>
      <c r="F25" s="82"/>
      <c r="G25" s="82"/>
      <c r="H25" s="82"/>
      <c r="I25" s="82"/>
      <c r="J25" s="84"/>
      <c r="K25" s="84"/>
      <c r="L25" s="84"/>
      <c r="M25" s="84"/>
      <c r="N25" s="84"/>
      <c r="O25" s="84"/>
      <c r="P25" s="84"/>
    </row>
    <row r="26" spans="3:16" ht="25" customHeight="1">
      <c r="C26" s="84"/>
      <c r="D26" s="84"/>
      <c r="E26" s="82"/>
      <c r="F26" s="82"/>
      <c r="G26" s="82"/>
      <c r="H26" s="82"/>
      <c r="I26" s="82"/>
      <c r="J26" s="84"/>
      <c r="K26" s="84"/>
      <c r="L26" s="84"/>
      <c r="M26" s="84"/>
      <c r="N26" s="84"/>
      <c r="O26" s="84"/>
      <c r="P26" s="84"/>
    </row>
    <row r="27" spans="3:16" ht="25" customHeight="1">
      <c r="C27" s="84"/>
      <c r="D27" s="84"/>
      <c r="E27" s="82"/>
      <c r="F27" s="82"/>
      <c r="G27" s="82"/>
      <c r="H27" s="82"/>
      <c r="I27" s="82"/>
      <c r="J27" s="84"/>
      <c r="K27" s="84"/>
      <c r="L27" s="84"/>
      <c r="M27" s="84"/>
      <c r="N27" s="84"/>
      <c r="O27" s="84"/>
      <c r="P27" s="84"/>
    </row>
    <row r="28" spans="3:16" ht="25" customHeight="1">
      <c r="C28" s="84"/>
      <c r="D28" s="84"/>
      <c r="E28" s="82"/>
      <c r="F28" s="82"/>
      <c r="G28" s="82"/>
      <c r="H28" s="82"/>
      <c r="I28" s="82"/>
      <c r="J28" s="84"/>
      <c r="K28" s="84"/>
      <c r="L28" s="84"/>
      <c r="M28" s="84"/>
      <c r="N28" s="84"/>
      <c r="O28" s="84"/>
      <c r="P28" s="84"/>
    </row>
    <row r="29" spans="3:16" ht="25" customHeight="1">
      <c r="C29" s="84"/>
      <c r="D29" s="84"/>
      <c r="E29" s="82"/>
      <c r="F29" s="82"/>
      <c r="G29" s="82"/>
      <c r="H29" s="82"/>
      <c r="I29" s="82"/>
      <c r="J29" s="84"/>
      <c r="K29" s="84"/>
      <c r="L29" s="84"/>
      <c r="M29" s="84"/>
      <c r="N29" s="84"/>
      <c r="O29" s="84"/>
      <c r="P29" s="84"/>
    </row>
    <row r="30" spans="3:16" ht="25" customHeight="1">
      <c r="C30" s="84"/>
      <c r="D30" s="84"/>
      <c r="E30" s="82"/>
      <c r="F30" s="82"/>
      <c r="G30" s="82"/>
      <c r="H30" s="82"/>
      <c r="I30" s="82"/>
      <c r="J30" s="84"/>
      <c r="K30" s="84"/>
      <c r="L30" s="84"/>
      <c r="M30" s="84"/>
      <c r="N30" s="84"/>
      <c r="O30" s="84"/>
      <c r="P30" s="84"/>
    </row>
    <row r="31" spans="3:16" ht="25" customHeight="1">
      <c r="C31" s="84"/>
      <c r="D31" s="84"/>
      <c r="E31" s="82"/>
      <c r="F31" s="82"/>
      <c r="G31" s="82"/>
      <c r="H31" s="82"/>
      <c r="I31" s="82"/>
      <c r="J31" s="84"/>
      <c r="K31" s="84"/>
      <c r="L31" s="84"/>
      <c r="M31" s="84"/>
      <c r="N31" s="84"/>
      <c r="O31" s="84"/>
      <c r="P31" s="84"/>
    </row>
    <row r="32" spans="3:16" ht="25" customHeight="1">
      <c r="C32" s="84"/>
      <c r="D32" s="84"/>
      <c r="E32" s="82"/>
      <c r="F32" s="82"/>
      <c r="G32" s="82"/>
      <c r="H32" s="82"/>
      <c r="I32" s="82"/>
      <c r="J32" s="84"/>
      <c r="K32" s="84"/>
      <c r="L32" s="84"/>
      <c r="M32" s="84"/>
      <c r="N32" s="84"/>
      <c r="O32" s="84"/>
      <c r="P32" s="84"/>
    </row>
    <row r="33" spans="3:16" ht="25" customHeight="1">
      <c r="C33" s="84"/>
      <c r="D33" s="84"/>
      <c r="E33" s="82"/>
      <c r="F33" s="82"/>
      <c r="G33" s="82"/>
      <c r="H33" s="82"/>
      <c r="I33" s="82"/>
      <c r="J33" s="84"/>
      <c r="K33" s="84"/>
      <c r="L33" s="84"/>
      <c r="M33" s="84"/>
      <c r="N33" s="84"/>
      <c r="O33" s="84"/>
      <c r="P33" s="84"/>
    </row>
    <row r="34" spans="3:16" ht="25" customHeight="1">
      <c r="C34" s="84"/>
      <c r="D34" s="84"/>
      <c r="E34" s="82"/>
      <c r="F34" s="82"/>
      <c r="G34" s="82"/>
      <c r="H34" s="82"/>
      <c r="I34" s="82"/>
      <c r="J34" s="84"/>
      <c r="K34" s="84"/>
      <c r="L34" s="84"/>
      <c r="M34" s="84"/>
      <c r="N34" s="84"/>
      <c r="O34" s="84"/>
      <c r="P34" s="84"/>
    </row>
    <row r="35" spans="3:16" ht="22" customHeight="1">
      <c r="C35" s="115" t="s">
        <v>285</v>
      </c>
      <c r="D35" s="115"/>
      <c r="E35" s="115"/>
      <c r="F35" s="115"/>
      <c r="G35" s="115"/>
      <c r="H35" s="115"/>
      <c r="I35" s="115"/>
    </row>
    <row r="36" spans="3:16" ht="22" customHeight="1">
      <c r="C36" s="102" t="s">
        <v>136</v>
      </c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</row>
    <row r="37" spans="3:16" ht="22" customHeight="1"/>
    <row r="38" spans="3:16" ht="22" customHeight="1">
      <c r="C38" s="106" t="s">
        <v>137</v>
      </c>
      <c r="D38" s="107"/>
      <c r="E38" s="107"/>
      <c r="F38" s="107"/>
      <c r="G38" s="107"/>
      <c r="H38" s="107"/>
      <c r="I38" s="107"/>
      <c r="J38" s="108"/>
    </row>
    <row r="39" spans="3:16" ht="22" customHeight="1">
      <c r="C39" s="109"/>
      <c r="D39" s="110"/>
      <c r="E39" s="110"/>
      <c r="F39" s="110"/>
      <c r="G39" s="110"/>
      <c r="H39" s="110"/>
      <c r="I39" s="110"/>
      <c r="J39" s="111"/>
    </row>
    <row r="40" spans="3:16" ht="22" customHeight="1">
      <c r="C40" s="112"/>
      <c r="D40" s="113"/>
      <c r="E40" s="113"/>
      <c r="F40" s="113"/>
      <c r="G40" s="113"/>
      <c r="H40" s="113"/>
      <c r="I40" s="113"/>
      <c r="J40" s="114"/>
    </row>
    <row r="41" spans="3:16" ht="22" customHeight="1"/>
    <row r="42" spans="3:16" ht="22" customHeight="1"/>
  </sheetData>
  <sheetProtection password="C38A" sheet="1" scenarios="1" autoFilter="0"/>
  <mergeCells count="113">
    <mergeCell ref="C36:P36"/>
    <mergeCell ref="C38:J40"/>
    <mergeCell ref="C35:I35"/>
    <mergeCell ref="C34:D34"/>
    <mergeCell ref="E34:F34"/>
    <mergeCell ref="G34:I34"/>
    <mergeCell ref="J34:K34"/>
    <mergeCell ref="L34:M34"/>
    <mergeCell ref="N34:P34"/>
    <mergeCell ref="C33:D33"/>
    <mergeCell ref="E33:F33"/>
    <mergeCell ref="G33:I33"/>
    <mergeCell ref="J33:K33"/>
    <mergeCell ref="L33:M33"/>
    <mergeCell ref="N33:P33"/>
    <mergeCell ref="C32:D32"/>
    <mergeCell ref="E32:F32"/>
    <mergeCell ref="G32:I32"/>
    <mergeCell ref="J32:K32"/>
    <mergeCell ref="L32:M32"/>
    <mergeCell ref="N32:P32"/>
    <mergeCell ref="C31:D31"/>
    <mergeCell ref="E31:F31"/>
    <mergeCell ref="G31:I31"/>
    <mergeCell ref="J31:K31"/>
    <mergeCell ref="L31:M31"/>
    <mergeCell ref="N31:P31"/>
    <mergeCell ref="C30:D30"/>
    <mergeCell ref="E30:F30"/>
    <mergeCell ref="G30:I30"/>
    <mergeCell ref="J30:K30"/>
    <mergeCell ref="L30:M30"/>
    <mergeCell ref="N30:P30"/>
    <mergeCell ref="C29:D29"/>
    <mergeCell ref="E29:F29"/>
    <mergeCell ref="G29:I29"/>
    <mergeCell ref="J29:K29"/>
    <mergeCell ref="L29:M29"/>
    <mergeCell ref="N29:P29"/>
    <mergeCell ref="C28:D28"/>
    <mergeCell ref="E28:F28"/>
    <mergeCell ref="G28:I28"/>
    <mergeCell ref="J28:K28"/>
    <mergeCell ref="L28:M28"/>
    <mergeCell ref="N28:P28"/>
    <mergeCell ref="C27:D27"/>
    <mergeCell ref="E27:F27"/>
    <mergeCell ref="G27:I27"/>
    <mergeCell ref="J27:K27"/>
    <mergeCell ref="L27:M27"/>
    <mergeCell ref="N27:P27"/>
    <mergeCell ref="C26:D26"/>
    <mergeCell ref="E26:F26"/>
    <mergeCell ref="G26:I26"/>
    <mergeCell ref="J26:K26"/>
    <mergeCell ref="L26:M26"/>
    <mergeCell ref="N26:P26"/>
    <mergeCell ref="C25:D25"/>
    <mergeCell ref="E25:F25"/>
    <mergeCell ref="G25:I25"/>
    <mergeCell ref="J25:K25"/>
    <mergeCell ref="L25:M25"/>
    <mergeCell ref="N25:P25"/>
    <mergeCell ref="C24:D24"/>
    <mergeCell ref="E24:F24"/>
    <mergeCell ref="G24:I24"/>
    <mergeCell ref="J24:K24"/>
    <mergeCell ref="L24:M24"/>
    <mergeCell ref="N24:P24"/>
    <mergeCell ref="C23:D23"/>
    <mergeCell ref="E23:F23"/>
    <mergeCell ref="G23:I23"/>
    <mergeCell ref="J23:K23"/>
    <mergeCell ref="L23:M23"/>
    <mergeCell ref="N23:P23"/>
    <mergeCell ref="C22:D22"/>
    <mergeCell ref="E22:F22"/>
    <mergeCell ref="G22:I22"/>
    <mergeCell ref="J22:K22"/>
    <mergeCell ref="L22:M22"/>
    <mergeCell ref="N22:P22"/>
    <mergeCell ref="C21:D21"/>
    <mergeCell ref="E21:F21"/>
    <mergeCell ref="G21:I21"/>
    <mergeCell ref="J21:K21"/>
    <mergeCell ref="L21:M21"/>
    <mergeCell ref="N21:P21"/>
    <mergeCell ref="C20:D20"/>
    <mergeCell ref="E20:F20"/>
    <mergeCell ref="G20:I20"/>
    <mergeCell ref="J20:K20"/>
    <mergeCell ref="L20:M20"/>
    <mergeCell ref="N20:P20"/>
    <mergeCell ref="C2:P4"/>
    <mergeCell ref="C5:P5"/>
    <mergeCell ref="C7:P7"/>
    <mergeCell ref="C9:D10"/>
    <mergeCell ref="E9:J10"/>
    <mergeCell ref="C12:D13"/>
    <mergeCell ref="E12:J13"/>
    <mergeCell ref="C19:D19"/>
    <mergeCell ref="E19:F19"/>
    <mergeCell ref="G19:I19"/>
    <mergeCell ref="J19:K19"/>
    <mergeCell ref="L19:M19"/>
    <mergeCell ref="N19:P19"/>
    <mergeCell ref="C15:P15"/>
    <mergeCell ref="C17:D18"/>
    <mergeCell ref="E17:F18"/>
    <mergeCell ref="G17:I18"/>
    <mergeCell ref="J17:K18"/>
    <mergeCell ref="L17:M18"/>
    <mergeCell ref="N17:P18"/>
  </mergeCells>
  <dataValidations disablePrompts="1" count="1">
    <dataValidation type="list" allowBlank="1" showInputMessage="1" showErrorMessage="1" sqref="E9" xr:uid="{79C4FEB1-7B71-4571-A1F5-26C7DABF89A4}">
      <formula1>$AA$3:$AA$5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4" name="ACSEL_CMB_BUILDING">
              <controlPr defaultSize="0" autoFill="0" autoPict="0">
                <anchor moveWithCells="1">
                  <from>
                    <xdr:col>4</xdr:col>
                    <xdr:colOff>25400</xdr:colOff>
                    <xdr:row>8</xdr:row>
                    <xdr:rowOff>25400</xdr:rowOff>
                  </from>
                  <to>
                    <xdr:col>9</xdr:col>
                    <xdr:colOff>1066800</xdr:colOff>
                    <xdr:row>9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02692-001A-432E-90D5-D5FACF12F0E3}">
  <sheetPr codeName="Sheet9"/>
  <dimension ref="C1:AB48"/>
  <sheetViews>
    <sheetView showGridLines="0" showRowColHeaders="0" zoomScale="85" zoomScaleNormal="85" workbookViewId="0"/>
  </sheetViews>
  <sheetFormatPr defaultRowHeight="14.5"/>
  <cols>
    <col min="1" max="2" width="3.6328125" style="34" customWidth="1"/>
    <col min="3" max="8" width="13.6328125" style="34" customWidth="1"/>
    <col min="9" max="10" width="3.6328125" style="34" customWidth="1"/>
    <col min="11" max="16" width="13.6328125" style="34" customWidth="1"/>
    <col min="17" max="17" width="3.6328125" style="34" customWidth="1"/>
    <col min="18" max="26" width="8.7265625" style="34"/>
    <col min="27" max="28" width="0" style="34" hidden="1" customWidth="1"/>
    <col min="29" max="16384" width="8.7265625" style="34"/>
  </cols>
  <sheetData>
    <row r="1" spans="3:28" ht="22" customHeight="1">
      <c r="AA1" s="34" t="s">
        <v>280</v>
      </c>
    </row>
    <row r="2" spans="3:28" ht="22" customHeight="1">
      <c r="C2" s="119" t="s">
        <v>142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</row>
    <row r="3" spans="3:28" ht="22" customHeight="1"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</row>
    <row r="4" spans="3:28" ht="22" customHeight="1"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</row>
    <row r="5" spans="3:28" ht="22" customHeight="1">
      <c r="C5" s="36" t="s">
        <v>143</v>
      </c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AA5" s="34" t="s">
        <v>56</v>
      </c>
      <c r="AB5" s="32">
        <v>1</v>
      </c>
    </row>
    <row r="6" spans="3:28" ht="22" customHeight="1">
      <c r="AA6" s="34" t="s">
        <v>57</v>
      </c>
    </row>
    <row r="7" spans="3:28" ht="22" customHeight="1">
      <c r="C7" s="102" t="s">
        <v>136</v>
      </c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AA7" s="34" t="s">
        <v>58</v>
      </c>
    </row>
    <row r="8" spans="3:28" ht="22" customHeight="1">
      <c r="AA8" s="34" t="s">
        <v>59</v>
      </c>
    </row>
    <row r="9" spans="3:28" ht="22" customHeight="1">
      <c r="C9" s="120" t="s">
        <v>286</v>
      </c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2"/>
      <c r="AA9" s="34" t="s">
        <v>60</v>
      </c>
    </row>
    <row r="10" spans="3:28" ht="22" customHeight="1">
      <c r="C10" s="123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5"/>
      <c r="AA10" s="34" t="s">
        <v>61</v>
      </c>
    </row>
    <row r="11" spans="3:28" ht="22" customHeight="1">
      <c r="C11" s="126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8"/>
      <c r="AA11" s="34" t="s">
        <v>62</v>
      </c>
    </row>
    <row r="12" spans="3:28" ht="22" customHeight="1">
      <c r="AA12" s="34" t="s">
        <v>63</v>
      </c>
    </row>
    <row r="13" spans="3:28" ht="22" customHeight="1">
      <c r="C13" s="102" t="s">
        <v>144</v>
      </c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AA13" s="34" t="s">
        <v>64</v>
      </c>
    </row>
    <row r="14" spans="3:28" ht="22" customHeight="1">
      <c r="AA14" s="34" t="s">
        <v>65</v>
      </c>
    </row>
    <row r="15" spans="3:28" ht="22" customHeight="1">
      <c r="C15" s="116" t="s">
        <v>23</v>
      </c>
      <c r="D15" s="116"/>
      <c r="E15" s="117">
        <v>46259</v>
      </c>
      <c r="F15" s="118"/>
      <c r="G15" s="118"/>
      <c r="H15" s="118"/>
      <c r="K15" s="116" t="s">
        <v>123</v>
      </c>
      <c r="L15" s="116"/>
      <c r="M15" s="118" t="s">
        <v>56</v>
      </c>
      <c r="N15" s="118"/>
      <c r="O15" s="118"/>
      <c r="P15" s="118"/>
      <c r="AA15" s="34" t="s">
        <v>45</v>
      </c>
    </row>
    <row r="16" spans="3:28" ht="22" customHeight="1">
      <c r="C16" s="116"/>
      <c r="D16" s="116"/>
      <c r="E16" s="118"/>
      <c r="F16" s="118"/>
      <c r="G16" s="118"/>
      <c r="H16" s="118"/>
      <c r="K16" s="116"/>
      <c r="L16" s="116"/>
      <c r="M16" s="118"/>
      <c r="N16" s="118"/>
      <c r="O16" s="118"/>
      <c r="P16" s="118"/>
    </row>
    <row r="17" spans="3:28" ht="22" customHeight="1"/>
    <row r="18" spans="3:28" ht="22" customHeight="1">
      <c r="C18" s="116" t="s">
        <v>145</v>
      </c>
      <c r="D18" s="116"/>
      <c r="E18" s="118" t="s">
        <v>287</v>
      </c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</row>
    <row r="19" spans="3:28" ht="22" customHeight="1">
      <c r="C19" s="116"/>
      <c r="D19" s="116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</row>
    <row r="20" spans="3:28" ht="22" customHeight="1">
      <c r="C20" s="116"/>
      <c r="D20" s="116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AA20" s="34" t="s">
        <v>129</v>
      </c>
      <c r="AB20" s="32">
        <v>1</v>
      </c>
    </row>
    <row r="21" spans="3:28" ht="22" customHeight="1">
      <c r="AA21" s="34" t="s">
        <v>149</v>
      </c>
    </row>
    <row r="22" spans="3:28" ht="22" customHeight="1">
      <c r="C22" s="116" t="s">
        <v>146</v>
      </c>
      <c r="D22" s="116"/>
      <c r="E22" s="118" t="s">
        <v>288</v>
      </c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AA22" s="34" t="s">
        <v>150</v>
      </c>
    </row>
    <row r="23" spans="3:28" ht="22" customHeight="1">
      <c r="C23" s="116"/>
      <c r="D23" s="116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</row>
    <row r="24" spans="3:28" ht="22" customHeight="1">
      <c r="C24" s="116"/>
      <c r="D24" s="116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</row>
    <row r="25" spans="3:28" ht="22" customHeight="1"/>
    <row r="26" spans="3:28" ht="22" customHeight="1">
      <c r="C26" s="116" t="s">
        <v>147</v>
      </c>
      <c r="D26" s="116"/>
      <c r="E26" s="118" t="s">
        <v>289</v>
      </c>
      <c r="F26" s="118"/>
      <c r="G26" s="118"/>
      <c r="H26" s="118"/>
      <c r="K26" s="116" t="s">
        <v>148</v>
      </c>
      <c r="L26" s="116"/>
      <c r="M26" s="118" t="s">
        <v>290</v>
      </c>
      <c r="N26" s="118"/>
      <c r="O26" s="118"/>
      <c r="P26" s="118"/>
    </row>
    <row r="27" spans="3:28" ht="22" customHeight="1">
      <c r="C27" s="116"/>
      <c r="D27" s="116"/>
      <c r="E27" s="118"/>
      <c r="F27" s="118"/>
      <c r="G27" s="118"/>
      <c r="H27" s="118"/>
      <c r="K27" s="116"/>
      <c r="L27" s="116"/>
      <c r="M27" s="118"/>
      <c r="N27" s="118"/>
      <c r="O27" s="118"/>
      <c r="P27" s="118"/>
    </row>
    <row r="28" spans="3:28" ht="22" customHeight="1">
      <c r="C28" s="116"/>
      <c r="D28" s="116"/>
      <c r="E28" s="118"/>
      <c r="F28" s="118"/>
      <c r="G28" s="118"/>
      <c r="H28" s="118"/>
      <c r="K28" s="116"/>
      <c r="L28" s="116"/>
      <c r="M28" s="118"/>
      <c r="N28" s="118"/>
      <c r="O28" s="118"/>
      <c r="P28" s="118"/>
    </row>
    <row r="29" spans="3:28" ht="22" customHeight="1"/>
    <row r="30" spans="3:28" ht="22" customHeight="1">
      <c r="C30" s="116" t="s">
        <v>29</v>
      </c>
      <c r="D30" s="116"/>
      <c r="E30" s="129">
        <v>1000</v>
      </c>
      <c r="F30" s="118"/>
      <c r="G30" s="118"/>
      <c r="H30" s="118"/>
      <c r="K30" s="116" t="s">
        <v>124</v>
      </c>
      <c r="L30" s="116"/>
      <c r="M30" s="117">
        <v>46351</v>
      </c>
      <c r="N30" s="118"/>
      <c r="O30" s="118"/>
      <c r="P30" s="118"/>
    </row>
    <row r="31" spans="3:28" ht="22" customHeight="1">
      <c r="C31" s="116"/>
      <c r="D31" s="116"/>
      <c r="E31" s="118"/>
      <c r="F31" s="118"/>
      <c r="G31" s="118"/>
      <c r="H31" s="118"/>
      <c r="K31" s="116"/>
      <c r="L31" s="116"/>
      <c r="M31" s="118"/>
      <c r="N31" s="118"/>
      <c r="O31" s="118"/>
      <c r="P31" s="118"/>
    </row>
    <row r="32" spans="3:28" ht="22" customHeight="1"/>
    <row r="33" spans="3:16" ht="22" customHeight="1">
      <c r="C33" s="116" t="s">
        <v>3</v>
      </c>
      <c r="D33" s="116"/>
      <c r="E33" s="118" t="s">
        <v>129</v>
      </c>
      <c r="F33" s="118"/>
      <c r="G33" s="118"/>
      <c r="H33" s="118"/>
    </row>
    <row r="34" spans="3:16" ht="22" customHeight="1">
      <c r="C34" s="116"/>
      <c r="D34" s="116"/>
      <c r="E34" s="118"/>
      <c r="F34" s="118"/>
      <c r="G34" s="118"/>
      <c r="H34" s="118"/>
    </row>
    <row r="35" spans="3:16" ht="22" customHeight="1"/>
    <row r="36" spans="3:16" ht="22" customHeight="1">
      <c r="C36" s="116" t="s">
        <v>5</v>
      </c>
      <c r="D36" s="116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</row>
    <row r="37" spans="3:16" ht="22" customHeight="1">
      <c r="C37" s="116"/>
      <c r="D37" s="116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</row>
    <row r="38" spans="3:16" ht="22" customHeight="1">
      <c r="C38" s="116"/>
      <c r="D38" s="116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</row>
    <row r="39" spans="3:16" ht="22" customHeight="1"/>
    <row r="40" spans="3:16" ht="22" customHeight="1"/>
    <row r="41" spans="3:16" ht="22" customHeight="1"/>
    <row r="42" spans="3:16" ht="22" customHeight="1"/>
    <row r="43" spans="3:16" ht="22" customHeight="1"/>
    <row r="44" spans="3:16" ht="22" customHeight="1"/>
    <row r="45" spans="3:16" ht="22" customHeight="1"/>
    <row r="46" spans="3:16" ht="22" customHeight="1"/>
    <row r="47" spans="3:16" ht="22" customHeight="1"/>
    <row r="48" spans="3:16" ht="22" customHeight="1"/>
  </sheetData>
  <sheetProtection password="C38A" sheet="1" scenarios="1" selectLockedCells="1" autoFilter="0"/>
  <mergeCells count="25">
    <mergeCell ref="C36:D38"/>
    <mergeCell ref="E36:P38"/>
    <mergeCell ref="C30:D31"/>
    <mergeCell ref="E30:H31"/>
    <mergeCell ref="K30:L31"/>
    <mergeCell ref="M30:P31"/>
    <mergeCell ref="C33:D34"/>
    <mergeCell ref="E33:H34"/>
    <mergeCell ref="C18:D20"/>
    <mergeCell ref="E18:P20"/>
    <mergeCell ref="C22:D24"/>
    <mergeCell ref="E22:P24"/>
    <mergeCell ref="C26:D28"/>
    <mergeCell ref="E26:H28"/>
    <mergeCell ref="K26:L28"/>
    <mergeCell ref="M26:P28"/>
    <mergeCell ref="C15:D16"/>
    <mergeCell ref="E15:H16"/>
    <mergeCell ref="K15:L16"/>
    <mergeCell ref="M15:P16"/>
    <mergeCell ref="C2:P4"/>
    <mergeCell ref="C5:P5"/>
    <mergeCell ref="C7:P7"/>
    <mergeCell ref="C9:P11"/>
    <mergeCell ref="C13:P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8" r:id="rId3" name="ACENTRY_CMB_ACTIVITY">
              <controlPr defaultSize="0" autoFill="0" autoPict="0" macro="[0]!AC_MaintEntryActivityChanged">
                <anchor moveWithCells="1">
                  <from>
                    <xdr:col>12</xdr:col>
                    <xdr:colOff>25400</xdr:colOff>
                    <xdr:row>14</xdr:row>
                    <xdr:rowOff>25400</xdr:rowOff>
                  </from>
                  <to>
                    <xdr:col>15</xdr:col>
                    <xdr:colOff>927100</xdr:colOff>
                    <xdr:row>15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4" name="ACENTRY_CMB_STATUS">
              <controlPr defaultSize="0" autoFill="0" autoPict="0" macro="[0]!AC_MaintEntryStatusChanged">
                <anchor moveWithCells="1">
                  <from>
                    <xdr:col>4</xdr:col>
                    <xdr:colOff>25400</xdr:colOff>
                    <xdr:row>32</xdr:row>
                    <xdr:rowOff>25400</xdr:rowOff>
                  </from>
                  <to>
                    <xdr:col>7</xdr:col>
                    <xdr:colOff>927100</xdr:colOff>
                    <xdr:row>33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EAAE-E3B8-4EEA-84E9-03CE165E6C2E}">
  <sheetPr codeName="Sheet7"/>
  <dimension ref="C1:AA60"/>
  <sheetViews>
    <sheetView showGridLines="0" showRowColHeaders="0" topLeftCell="A13" zoomScale="70" zoomScaleNormal="70" workbookViewId="0"/>
  </sheetViews>
  <sheetFormatPr defaultRowHeight="14.5"/>
  <cols>
    <col min="1" max="2" width="3.6328125" style="34" customWidth="1"/>
    <col min="3" max="16" width="10.6328125" style="34" customWidth="1"/>
    <col min="17" max="18" width="3.6328125" style="34" customWidth="1"/>
    <col min="19" max="26" width="8.7265625" style="34"/>
    <col min="27" max="28" width="0" style="34" hidden="1" customWidth="1"/>
    <col min="29" max="16384" width="8.7265625" style="34"/>
  </cols>
  <sheetData>
    <row r="1" spans="3:27" ht="22" customHeight="1">
      <c r="AA1" s="34" t="s">
        <v>296</v>
      </c>
    </row>
    <row r="2" spans="3:27" ht="22" customHeight="1">
      <c r="C2" s="119" t="s">
        <v>159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AA2" s="34" t="s">
        <v>133</v>
      </c>
    </row>
    <row r="3" spans="3:27" ht="22" customHeight="1"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AA3" s="34" t="s">
        <v>165</v>
      </c>
    </row>
    <row r="4" spans="3:27" ht="22" customHeight="1"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</row>
    <row r="5" spans="3:27" ht="22" customHeight="1">
      <c r="C5" s="36" t="s">
        <v>160</v>
      </c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</row>
    <row r="6" spans="3:27" ht="22" customHeight="1"/>
    <row r="7" spans="3:27" ht="22" customHeight="1">
      <c r="C7" s="71" t="s">
        <v>161</v>
      </c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</row>
    <row r="8" spans="3:27" ht="22" customHeight="1"/>
    <row r="9" spans="3:27" ht="22" customHeight="1"/>
    <row r="10" spans="3:27" ht="22" customHeight="1"/>
    <row r="11" spans="3:27" ht="22" customHeight="1"/>
    <row r="12" spans="3:27" ht="22" customHeight="1"/>
    <row r="13" spans="3:27" ht="22" customHeight="1"/>
    <row r="14" spans="3:27" ht="22" customHeight="1"/>
    <row r="15" spans="3:27" ht="22" customHeight="1"/>
    <row r="16" spans="3:27" ht="22" customHeight="1"/>
    <row r="17" spans="3:16" ht="22" customHeight="1"/>
    <row r="18" spans="3:16" ht="22" customHeight="1"/>
    <row r="19" spans="3:16" ht="22" customHeight="1">
      <c r="C19" s="71" t="s">
        <v>162</v>
      </c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</row>
    <row r="20" spans="3:16" ht="22" customHeight="1"/>
    <row r="21" spans="3:16" ht="22" customHeight="1"/>
    <row r="22" spans="3:16" ht="22" customHeight="1"/>
    <row r="23" spans="3:16" ht="22" customHeight="1"/>
    <row r="24" spans="3:16" ht="22" customHeight="1"/>
    <row r="25" spans="3:16" ht="22" customHeight="1"/>
    <row r="26" spans="3:16" ht="22" customHeight="1"/>
    <row r="27" spans="3:16" ht="22" customHeight="1"/>
    <row r="28" spans="3:16" ht="22" customHeight="1"/>
    <row r="29" spans="3:16" ht="22" customHeight="1"/>
    <row r="30" spans="3:16" ht="22" customHeight="1"/>
    <row r="31" spans="3:16" ht="22" customHeight="1"/>
    <row r="32" spans="3:16" ht="22" customHeight="1"/>
    <row r="33" spans="3:16" ht="22" customHeight="1"/>
    <row r="34" spans="3:16" ht="22" customHeight="1"/>
    <row r="35" spans="3:16" ht="22" customHeight="1"/>
    <row r="36" spans="3:16" ht="22" customHeight="1"/>
    <row r="37" spans="3:16" ht="22" customHeight="1"/>
    <row r="38" spans="3:16" ht="22" customHeight="1"/>
    <row r="39" spans="3:16" ht="22" customHeight="1"/>
    <row r="40" spans="3:16" ht="22" customHeight="1"/>
    <row r="41" spans="3:16" ht="22" customHeight="1">
      <c r="C41" s="71" t="s">
        <v>163</v>
      </c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</row>
    <row r="42" spans="3:16" ht="22" customHeight="1"/>
    <row r="43" spans="3:16" ht="22" customHeight="1">
      <c r="C43" s="130" t="s">
        <v>22</v>
      </c>
      <c r="D43" s="130"/>
      <c r="E43" s="130"/>
      <c r="F43" s="130"/>
      <c r="G43" s="131" t="s">
        <v>133</v>
      </c>
      <c r="H43" s="131"/>
      <c r="I43" s="131"/>
      <c r="J43" s="131"/>
      <c r="K43" s="130" t="s">
        <v>164</v>
      </c>
      <c r="L43" s="130"/>
      <c r="M43" s="130"/>
      <c r="N43" s="131" t="s">
        <v>165</v>
      </c>
      <c r="O43" s="131"/>
      <c r="P43" s="131"/>
    </row>
    <row r="44" spans="3:16" ht="22" customHeight="1">
      <c r="C44" s="130"/>
      <c r="D44" s="130"/>
      <c r="E44" s="130"/>
      <c r="F44" s="130"/>
      <c r="G44" s="131"/>
      <c r="H44" s="131"/>
      <c r="I44" s="131"/>
      <c r="J44" s="131"/>
      <c r="K44" s="130"/>
      <c r="L44" s="130"/>
      <c r="M44" s="130"/>
      <c r="N44" s="131"/>
      <c r="O44" s="131"/>
      <c r="P44" s="131"/>
    </row>
    <row r="45" spans="3:16" ht="22" customHeight="1"/>
    <row r="46" spans="3:16" ht="22" customHeight="1">
      <c r="C46" s="71" t="s">
        <v>166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</row>
    <row r="47" spans="3:16" ht="22" customHeight="1"/>
    <row r="48" spans="3:16" ht="22" customHeight="1">
      <c r="C48" s="120" t="s">
        <v>297</v>
      </c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2"/>
    </row>
    <row r="49" spans="3:16" ht="22" customHeight="1">
      <c r="C49" s="123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5"/>
    </row>
    <row r="50" spans="3:16" ht="22" customHeight="1">
      <c r="C50" s="126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8"/>
    </row>
    <row r="51" spans="3:16" ht="22" customHeight="1"/>
    <row r="52" spans="3:16" ht="22" customHeight="1"/>
    <row r="53" spans="3:16" ht="22" customHeight="1"/>
    <row r="54" spans="3:16" ht="22" customHeight="1"/>
    <row r="55" spans="3:16" ht="22" customHeight="1"/>
    <row r="56" spans="3:16" ht="22" customHeight="1"/>
    <row r="57" spans="3:16" ht="22" customHeight="1"/>
    <row r="58" spans="3:16" ht="22" customHeight="1"/>
    <row r="59" spans="3:16" ht="22" customHeight="1"/>
    <row r="60" spans="3:16" ht="22" customHeight="1"/>
  </sheetData>
  <sheetProtection password="C38A" sheet="1" scenarios="1" selectLockedCells="1" autoFilter="0"/>
  <mergeCells count="11">
    <mergeCell ref="C2:P4"/>
    <mergeCell ref="C5:P5"/>
    <mergeCell ref="C7:P7"/>
    <mergeCell ref="C46:P46"/>
    <mergeCell ref="C48:P50"/>
    <mergeCell ref="C19:P19"/>
    <mergeCell ref="C41:P41"/>
    <mergeCell ref="C43:F44"/>
    <mergeCell ref="G43:J44"/>
    <mergeCell ref="K43:M44"/>
    <mergeCell ref="N43:P44"/>
  </mergeCells>
  <dataValidations count="2">
    <dataValidation type="list" allowBlank="1" showErrorMessage="1" sqref="G43" xr:uid="{14553E90-537C-489D-8FC1-B81A7E9C45FB}">
      <formula1>"All Buildings,ADMIN,COA,planning"</formula1>
    </dataValidation>
    <dataValidation type="list" allowBlank="1" showErrorMessage="1" sqref="N43" xr:uid="{777B2A72-0FBB-431B-8D6F-8DE8C9F0AEA7}">
      <formula1>"All Records,This Month,This Year"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B4DFD-1736-4CB7-A034-1B239CA16BE6}">
  <sheetPr codeName="Sheet1">
    <pageSetUpPr fitToPage="1"/>
  </sheetPr>
  <dimension ref="C1:AA75"/>
  <sheetViews>
    <sheetView showGridLines="0" showRowColHeaders="0" tabSelected="1" zoomScale="85" zoomScaleNormal="85" workbookViewId="0"/>
  </sheetViews>
  <sheetFormatPr defaultRowHeight="14.5"/>
  <cols>
    <col min="1" max="2" width="3.6328125" style="34" customWidth="1"/>
    <col min="3" max="3" width="12.6328125" style="34" customWidth="1"/>
    <col min="4" max="4" width="14.6328125" style="34" customWidth="1"/>
    <col min="5" max="5" width="18.6328125" style="34" customWidth="1"/>
    <col min="6" max="6" width="16.6328125" style="34" customWidth="1"/>
    <col min="7" max="16" width="14.6328125" style="34" customWidth="1"/>
    <col min="17" max="18" width="3.6328125" style="34" customWidth="1"/>
    <col min="19" max="26" width="8.7265625" style="34"/>
    <col min="27" max="28" width="0" style="34" hidden="1" customWidth="1"/>
    <col min="29" max="16384" width="8.7265625" style="34"/>
  </cols>
  <sheetData>
    <row r="1" spans="3:27" ht="21" customHeight="1">
      <c r="AA1" s="34" t="s">
        <v>296</v>
      </c>
    </row>
    <row r="2" spans="3:27" ht="21" customHeight="1">
      <c r="C2" s="167" t="s">
        <v>167</v>
      </c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AA2" s="34" t="s">
        <v>133</v>
      </c>
    </row>
    <row r="3" spans="3:27" ht="21" customHeight="1"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AA3" s="34" t="s">
        <v>165</v>
      </c>
    </row>
    <row r="4" spans="3:27" ht="21" customHeight="1"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AA4" s="34">
        <v>18</v>
      </c>
    </row>
    <row r="5" spans="3:27" ht="21" customHeight="1">
      <c r="C5" s="169" t="s">
        <v>168</v>
      </c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</row>
    <row r="6" spans="3:27" ht="21" customHeight="1"/>
    <row r="7" spans="3:27" ht="21" customHeight="1">
      <c r="C7" s="170" t="s">
        <v>296</v>
      </c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</row>
    <row r="8" spans="3:27" ht="21" customHeight="1"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</row>
    <row r="9" spans="3:27" ht="21" customHeight="1"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</row>
    <row r="10" spans="3:27" ht="21" customHeight="1"/>
    <row r="11" spans="3:27" ht="21" customHeight="1">
      <c r="C11" s="171" t="s">
        <v>169</v>
      </c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</row>
    <row r="12" spans="3:27" ht="21" customHeight="1"/>
    <row r="13" spans="3:27" ht="21" customHeight="1">
      <c r="C13" s="172" t="s">
        <v>22</v>
      </c>
      <c r="D13" s="172"/>
      <c r="E13" s="173" t="s">
        <v>133</v>
      </c>
      <c r="F13" s="173"/>
      <c r="G13" s="173"/>
      <c r="H13" s="173"/>
      <c r="I13" s="172" t="s">
        <v>170</v>
      </c>
      <c r="J13" s="172"/>
      <c r="K13" s="174">
        <v>46259</v>
      </c>
      <c r="L13" s="173"/>
      <c r="M13" s="173"/>
      <c r="N13" s="172" t="s">
        <v>171</v>
      </c>
      <c r="O13" s="172"/>
      <c r="P13" s="175">
        <v>18</v>
      </c>
    </row>
    <row r="14" spans="3:27" ht="21" customHeight="1">
      <c r="C14" s="172"/>
      <c r="D14" s="172"/>
      <c r="E14" s="173"/>
      <c r="F14" s="173"/>
      <c r="G14" s="173"/>
      <c r="H14" s="173"/>
      <c r="I14" s="172"/>
      <c r="J14" s="172"/>
      <c r="K14" s="173"/>
      <c r="L14" s="173"/>
      <c r="M14" s="173"/>
      <c r="N14" s="172"/>
      <c r="O14" s="172"/>
      <c r="P14" s="175"/>
    </row>
    <row r="15" spans="3:27" ht="21" customHeight="1"/>
    <row r="16" spans="3:27" ht="21" customHeight="1">
      <c r="C16" s="163" t="s">
        <v>298</v>
      </c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</row>
    <row r="17" spans="3:16" ht="21" customHeight="1"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</row>
    <row r="18" spans="3:16" ht="21" customHeight="1"/>
    <row r="19" spans="3:16" ht="21" customHeight="1">
      <c r="C19" s="164" t="s">
        <v>104</v>
      </c>
      <c r="D19" s="165"/>
      <c r="E19" s="164" t="s">
        <v>22</v>
      </c>
      <c r="F19" s="165"/>
      <c r="G19" s="164" t="s">
        <v>105</v>
      </c>
      <c r="H19" s="166"/>
      <c r="I19" s="165"/>
      <c r="J19" s="164" t="s">
        <v>9</v>
      </c>
      <c r="K19" s="165"/>
      <c r="L19" s="164" t="s">
        <v>13</v>
      </c>
      <c r="M19" s="165"/>
      <c r="N19" s="164" t="s">
        <v>3</v>
      </c>
      <c r="O19" s="166"/>
      <c r="P19" s="165"/>
    </row>
    <row r="20" spans="3:16" ht="21" customHeight="1">
      <c r="C20" s="22"/>
      <c r="D20" s="23"/>
      <c r="E20" s="22"/>
      <c r="F20" s="23"/>
      <c r="G20" s="22"/>
      <c r="H20" s="24"/>
      <c r="I20" s="23"/>
      <c r="J20" s="22"/>
      <c r="K20" s="23"/>
      <c r="L20" s="22"/>
      <c r="M20" s="23"/>
      <c r="N20" s="22"/>
      <c r="O20" s="24"/>
      <c r="P20" s="23"/>
    </row>
    <row r="21" spans="3:16" ht="18" customHeight="1">
      <c r="C21" s="151" t="s">
        <v>107</v>
      </c>
      <c r="D21" s="152"/>
      <c r="E21" s="153" t="s">
        <v>94</v>
      </c>
      <c r="F21" s="154"/>
      <c r="G21" s="155" t="s">
        <v>109</v>
      </c>
      <c r="H21" s="156"/>
      <c r="I21" s="157"/>
      <c r="J21" s="185" t="s">
        <v>110</v>
      </c>
      <c r="K21" s="186"/>
      <c r="L21" s="158" t="s">
        <v>112</v>
      </c>
      <c r="M21" s="159"/>
      <c r="N21" s="160" t="s">
        <v>47</v>
      </c>
      <c r="O21" s="161"/>
      <c r="P21" s="162"/>
    </row>
    <row r="22" spans="3:16" ht="18" customHeight="1">
      <c r="C22" s="93" t="s">
        <v>113</v>
      </c>
      <c r="D22" s="135"/>
      <c r="E22" s="135" t="s">
        <v>98</v>
      </c>
      <c r="F22" s="135"/>
      <c r="G22" s="136" t="s">
        <v>115</v>
      </c>
      <c r="H22" s="136"/>
      <c r="I22" s="136"/>
      <c r="J22" s="135" t="s">
        <v>110</v>
      </c>
      <c r="K22" s="135"/>
      <c r="L22" s="137" t="s">
        <v>112</v>
      </c>
      <c r="M22" s="137"/>
      <c r="N22" s="149" t="s">
        <v>47</v>
      </c>
      <c r="O22" s="149"/>
      <c r="P22" s="150"/>
    </row>
    <row r="23" spans="3:16" ht="18" customHeight="1">
      <c r="C23" s="93" t="s">
        <v>174</v>
      </c>
      <c r="D23" s="135"/>
      <c r="E23" s="140" t="s">
        <v>157</v>
      </c>
      <c r="F23" s="140"/>
      <c r="G23" s="141" t="s">
        <v>157</v>
      </c>
      <c r="H23" s="141"/>
      <c r="I23" s="141"/>
      <c r="J23" s="187" t="s">
        <v>173</v>
      </c>
      <c r="K23" s="187"/>
      <c r="L23" s="137" t="s">
        <v>112</v>
      </c>
      <c r="M23" s="137"/>
      <c r="N23" s="142" t="s">
        <v>47</v>
      </c>
      <c r="O23" s="142"/>
      <c r="P23" s="143"/>
    </row>
    <row r="24" spans="3:16" ht="18" customHeight="1">
      <c r="C24" s="93" t="s">
        <v>175</v>
      </c>
      <c r="D24" s="135"/>
      <c r="E24" s="140" t="s">
        <v>157</v>
      </c>
      <c r="F24" s="140"/>
      <c r="G24" s="141" t="s">
        <v>176</v>
      </c>
      <c r="H24" s="141"/>
      <c r="I24" s="141"/>
      <c r="J24" s="187" t="s">
        <v>173</v>
      </c>
      <c r="K24" s="187"/>
      <c r="L24" s="137" t="s">
        <v>177</v>
      </c>
      <c r="M24" s="137"/>
      <c r="N24" s="142" t="s">
        <v>47</v>
      </c>
      <c r="O24" s="142"/>
      <c r="P24" s="143"/>
    </row>
    <row r="25" spans="3:16" ht="18" customHeight="1">
      <c r="C25" s="93" t="s">
        <v>201</v>
      </c>
      <c r="D25" s="135"/>
      <c r="E25" s="140" t="s">
        <v>94</v>
      </c>
      <c r="F25" s="140"/>
      <c r="G25" s="141">
        <v>1312</v>
      </c>
      <c r="H25" s="141"/>
      <c r="I25" s="141"/>
      <c r="J25" s="187" t="s">
        <v>198</v>
      </c>
      <c r="K25" s="187"/>
      <c r="L25" s="137" t="s">
        <v>112</v>
      </c>
      <c r="M25" s="137"/>
      <c r="N25" s="142" t="s">
        <v>47</v>
      </c>
      <c r="O25" s="142"/>
      <c r="P25" s="143"/>
    </row>
    <row r="26" spans="3:16" ht="18" customHeight="1">
      <c r="C26" s="93" t="s">
        <v>232</v>
      </c>
      <c r="D26" s="135"/>
      <c r="E26" s="140" t="s">
        <v>214</v>
      </c>
      <c r="F26" s="140"/>
      <c r="G26" s="141" t="s">
        <v>233</v>
      </c>
      <c r="H26" s="141"/>
      <c r="I26" s="141"/>
      <c r="J26" s="187" t="s">
        <v>173</v>
      </c>
      <c r="K26" s="187"/>
      <c r="L26" s="137" t="s">
        <v>112</v>
      </c>
      <c r="M26" s="137"/>
      <c r="N26" s="142" t="s">
        <v>47</v>
      </c>
      <c r="O26" s="142"/>
      <c r="P26" s="143"/>
    </row>
    <row r="27" spans="3:16" ht="18" customHeight="1">
      <c r="C27" s="93" t="s">
        <v>234</v>
      </c>
      <c r="D27" s="135"/>
      <c r="E27" s="140" t="s">
        <v>217</v>
      </c>
      <c r="F27" s="140"/>
      <c r="G27" s="141" t="s">
        <v>235</v>
      </c>
      <c r="H27" s="141"/>
      <c r="I27" s="141"/>
      <c r="J27" s="187" t="s">
        <v>173</v>
      </c>
      <c r="K27" s="187"/>
      <c r="L27" s="137" t="s">
        <v>236</v>
      </c>
      <c r="M27" s="137"/>
      <c r="N27" s="142" t="s">
        <v>47</v>
      </c>
      <c r="O27" s="142"/>
      <c r="P27" s="143"/>
    </row>
    <row r="28" spans="3:16" ht="18" customHeight="1">
      <c r="C28" s="93" t="s">
        <v>237</v>
      </c>
      <c r="D28" s="135"/>
      <c r="E28" s="140" t="s">
        <v>220</v>
      </c>
      <c r="F28" s="140"/>
      <c r="G28" s="141" t="s">
        <v>238</v>
      </c>
      <c r="H28" s="141"/>
      <c r="I28" s="141"/>
      <c r="J28" s="187" t="s">
        <v>110</v>
      </c>
      <c r="K28" s="187"/>
      <c r="L28" s="137" t="s">
        <v>112</v>
      </c>
      <c r="M28" s="137"/>
      <c r="N28" s="142" t="s">
        <v>47</v>
      </c>
      <c r="O28" s="142"/>
      <c r="P28" s="143"/>
    </row>
    <row r="29" spans="3:16" ht="18" customHeight="1">
      <c r="C29" s="93" t="s">
        <v>239</v>
      </c>
      <c r="D29" s="94"/>
      <c r="E29" s="144" t="s">
        <v>223</v>
      </c>
      <c r="F29" s="145"/>
      <c r="G29" s="146" t="s">
        <v>240</v>
      </c>
      <c r="H29" s="141"/>
      <c r="I29" s="147"/>
      <c r="J29" s="189" t="s">
        <v>173</v>
      </c>
      <c r="K29" s="188"/>
      <c r="L29" s="138" t="s">
        <v>236</v>
      </c>
      <c r="M29" s="139"/>
      <c r="N29" s="148" t="s">
        <v>47</v>
      </c>
      <c r="O29" s="142"/>
      <c r="P29" s="143"/>
    </row>
    <row r="30" spans="3:16" ht="18" customHeight="1">
      <c r="C30" s="93" t="s">
        <v>241</v>
      </c>
      <c r="D30" s="135"/>
      <c r="E30" s="140" t="s">
        <v>225</v>
      </c>
      <c r="F30" s="140"/>
      <c r="G30" s="141" t="s">
        <v>242</v>
      </c>
      <c r="H30" s="141"/>
      <c r="I30" s="141"/>
      <c r="J30" s="187" t="s">
        <v>173</v>
      </c>
      <c r="K30" s="187"/>
      <c r="L30" s="137" t="s">
        <v>236</v>
      </c>
      <c r="M30" s="137"/>
      <c r="N30" s="142" t="s">
        <v>47</v>
      </c>
      <c r="O30" s="142"/>
      <c r="P30" s="143"/>
    </row>
    <row r="31" spans="3:16" ht="18" customHeight="1">
      <c r="C31" s="93" t="s">
        <v>243</v>
      </c>
      <c r="D31" s="94"/>
      <c r="E31" s="144" t="s">
        <v>227</v>
      </c>
      <c r="F31" s="145"/>
      <c r="G31" s="146" t="s">
        <v>244</v>
      </c>
      <c r="H31" s="141"/>
      <c r="I31" s="147"/>
      <c r="J31" s="189" t="s">
        <v>173</v>
      </c>
      <c r="K31" s="188"/>
      <c r="L31" s="138" t="s">
        <v>236</v>
      </c>
      <c r="M31" s="139"/>
      <c r="N31" s="148" t="s">
        <v>47</v>
      </c>
      <c r="O31" s="142"/>
      <c r="P31" s="143"/>
    </row>
    <row r="32" spans="3:16" ht="18" customHeight="1">
      <c r="C32" s="93" t="s">
        <v>245</v>
      </c>
      <c r="D32" s="94"/>
      <c r="E32" s="144" t="s">
        <v>157</v>
      </c>
      <c r="F32" s="145"/>
      <c r="G32" s="146" t="s">
        <v>246</v>
      </c>
      <c r="H32" s="141"/>
      <c r="I32" s="147"/>
      <c r="J32" s="189" t="s">
        <v>173</v>
      </c>
      <c r="K32" s="188"/>
      <c r="L32" s="138" t="s">
        <v>112</v>
      </c>
      <c r="M32" s="139"/>
      <c r="N32" s="148" t="s">
        <v>47</v>
      </c>
      <c r="O32" s="142"/>
      <c r="P32" s="143"/>
    </row>
    <row r="33" spans="3:16" ht="18" customHeight="1">
      <c r="C33" s="93" t="s">
        <v>247</v>
      </c>
      <c r="D33" s="94"/>
      <c r="E33" s="144" t="s">
        <v>157</v>
      </c>
      <c r="F33" s="145"/>
      <c r="G33" s="146" t="s">
        <v>114</v>
      </c>
      <c r="H33" s="141"/>
      <c r="I33" s="147"/>
      <c r="J33" s="189" t="s">
        <v>173</v>
      </c>
      <c r="K33" s="188"/>
      <c r="L33" s="138" t="s">
        <v>249</v>
      </c>
      <c r="M33" s="139"/>
      <c r="N33" s="148" t="s">
        <v>47</v>
      </c>
      <c r="O33" s="142"/>
      <c r="P33" s="143"/>
    </row>
    <row r="34" spans="3:16" ht="18" customHeight="1">
      <c r="C34" s="93" t="s">
        <v>250</v>
      </c>
      <c r="D34" s="94"/>
      <c r="E34" s="144" t="s">
        <v>217</v>
      </c>
      <c r="F34" s="145"/>
      <c r="G34" s="146" t="s">
        <v>251</v>
      </c>
      <c r="H34" s="141"/>
      <c r="I34" s="147"/>
      <c r="J34" s="189" t="s">
        <v>173</v>
      </c>
      <c r="K34" s="188"/>
      <c r="L34" s="138" t="s">
        <v>236</v>
      </c>
      <c r="M34" s="139"/>
      <c r="N34" s="148" t="s">
        <v>47</v>
      </c>
      <c r="O34" s="142"/>
      <c r="P34" s="143"/>
    </row>
    <row r="35" spans="3:16" ht="18" customHeight="1">
      <c r="C35" s="93" t="s">
        <v>252</v>
      </c>
      <c r="D35" s="135"/>
      <c r="E35" s="140" t="s">
        <v>94</v>
      </c>
      <c r="F35" s="140"/>
      <c r="G35" s="141" t="s">
        <v>253</v>
      </c>
      <c r="H35" s="141"/>
      <c r="I35" s="141"/>
      <c r="J35" s="187" t="s">
        <v>110</v>
      </c>
      <c r="K35" s="187"/>
      <c r="L35" s="137" t="s">
        <v>236</v>
      </c>
      <c r="M35" s="137"/>
      <c r="N35" s="142" t="s">
        <v>47</v>
      </c>
      <c r="O35" s="142"/>
      <c r="P35" s="143"/>
    </row>
    <row r="36" spans="3:16" ht="18" customHeight="1">
      <c r="C36" s="93" t="s">
        <v>254</v>
      </c>
      <c r="D36" s="94"/>
      <c r="E36" s="61" t="s">
        <v>94</v>
      </c>
      <c r="F36" s="62"/>
      <c r="G36" s="63" t="s">
        <v>255</v>
      </c>
      <c r="H36" s="65"/>
      <c r="I36" s="64"/>
      <c r="J36" s="61" t="s">
        <v>110</v>
      </c>
      <c r="K36" s="62"/>
      <c r="L36" s="138" t="s">
        <v>112</v>
      </c>
      <c r="M36" s="139"/>
      <c r="N36" s="66" t="s">
        <v>47</v>
      </c>
      <c r="O36" s="67"/>
      <c r="P36" s="68"/>
    </row>
    <row r="37" spans="3:16" ht="18" customHeight="1">
      <c r="C37" s="93" t="s">
        <v>269</v>
      </c>
      <c r="D37" s="135"/>
      <c r="E37" s="83" t="s">
        <v>94</v>
      </c>
      <c r="F37" s="83"/>
      <c r="G37" s="65">
        <v>1</v>
      </c>
      <c r="H37" s="65"/>
      <c r="I37" s="65"/>
      <c r="J37" s="83" t="s">
        <v>110</v>
      </c>
      <c r="K37" s="83"/>
      <c r="L37" s="137" t="s">
        <v>270</v>
      </c>
      <c r="M37" s="137"/>
      <c r="N37" s="67" t="s">
        <v>47</v>
      </c>
      <c r="O37" s="67"/>
      <c r="P37" s="68"/>
    </row>
    <row r="38" spans="3:16" ht="18" customHeight="1">
      <c r="C38" s="93" t="s">
        <v>280</v>
      </c>
      <c r="D38" s="135"/>
      <c r="E38" s="135" t="s">
        <v>277</v>
      </c>
      <c r="F38" s="135"/>
      <c r="G38" s="136" t="s">
        <v>282</v>
      </c>
      <c r="H38" s="136"/>
      <c r="I38" s="136"/>
      <c r="J38" s="135" t="s">
        <v>173</v>
      </c>
      <c r="K38" s="135"/>
      <c r="L38" s="137" t="s">
        <v>112</v>
      </c>
      <c r="M38" s="137"/>
      <c r="N38" s="149" t="s">
        <v>47</v>
      </c>
      <c r="O38" s="149"/>
      <c r="P38" s="150"/>
    </row>
    <row r="39" spans="3:16" ht="18" customHeight="1">
      <c r="C39" s="61"/>
      <c r="D39" s="83"/>
      <c r="E39" s="83"/>
      <c r="F39" s="83"/>
      <c r="G39" s="65"/>
      <c r="H39" s="65"/>
      <c r="I39" s="65"/>
      <c r="J39" s="83"/>
      <c r="K39" s="83"/>
      <c r="L39" s="134"/>
      <c r="M39" s="134"/>
      <c r="N39" s="83"/>
      <c r="O39" s="83"/>
      <c r="P39" s="62"/>
    </row>
    <row r="40" spans="3:16" ht="18" customHeight="1">
      <c r="C40" s="61"/>
      <c r="D40" s="62"/>
      <c r="E40" s="61"/>
      <c r="F40" s="62"/>
      <c r="G40" s="63"/>
      <c r="H40" s="65"/>
      <c r="I40" s="64"/>
      <c r="J40" s="61"/>
      <c r="K40" s="62"/>
      <c r="L40" s="132"/>
      <c r="M40" s="133"/>
      <c r="N40" s="61"/>
      <c r="O40" s="83"/>
      <c r="P40" s="62"/>
    </row>
    <row r="41" spans="3:16" ht="18" customHeight="1">
      <c r="C41" s="61"/>
      <c r="D41" s="62"/>
      <c r="E41" s="61"/>
      <c r="F41" s="62"/>
      <c r="G41" s="63"/>
      <c r="H41" s="65"/>
      <c r="I41" s="64"/>
      <c r="J41" s="61"/>
      <c r="K41" s="62"/>
      <c r="L41" s="132"/>
      <c r="M41" s="133"/>
      <c r="N41" s="61"/>
      <c r="O41" s="83"/>
      <c r="P41" s="62"/>
    </row>
    <row r="42" spans="3:16" ht="18" customHeight="1">
      <c r="C42" s="61"/>
      <c r="D42" s="62"/>
      <c r="E42" s="61"/>
      <c r="F42" s="62"/>
      <c r="G42" s="63"/>
      <c r="H42" s="65"/>
      <c r="I42" s="64"/>
      <c r="J42" s="61"/>
      <c r="K42" s="62"/>
      <c r="L42" s="132"/>
      <c r="M42" s="133"/>
      <c r="N42" s="61"/>
      <c r="O42" s="83"/>
      <c r="P42" s="62"/>
    </row>
    <row r="43" spans="3:16" ht="18" customHeight="1">
      <c r="C43" s="61"/>
      <c r="D43" s="62"/>
      <c r="E43" s="61"/>
      <c r="F43" s="62"/>
      <c r="G43" s="63"/>
      <c r="H43" s="65"/>
      <c r="I43" s="64"/>
      <c r="J43" s="61"/>
      <c r="K43" s="62"/>
      <c r="L43" s="132"/>
      <c r="M43" s="133"/>
      <c r="N43" s="61"/>
      <c r="O43" s="83"/>
      <c r="P43" s="62"/>
    </row>
    <row r="44" spans="3:16" ht="18" customHeight="1">
      <c r="C44" s="61"/>
      <c r="D44" s="62"/>
      <c r="E44" s="61"/>
      <c r="F44" s="62"/>
      <c r="G44" s="63"/>
      <c r="H44" s="65"/>
      <c r="I44" s="64"/>
      <c r="J44" s="61"/>
      <c r="K44" s="62"/>
      <c r="L44" s="132"/>
      <c r="M44" s="133"/>
      <c r="N44" s="61"/>
      <c r="O44" s="83"/>
      <c r="P44" s="62"/>
    </row>
    <row r="45" spans="3:16" ht="18" customHeight="1">
      <c r="C45" s="61"/>
      <c r="D45" s="62"/>
      <c r="E45" s="61"/>
      <c r="F45" s="62"/>
      <c r="G45" s="63"/>
      <c r="H45" s="65"/>
      <c r="I45" s="64"/>
      <c r="J45" s="61"/>
      <c r="K45" s="62"/>
      <c r="L45" s="132"/>
      <c r="M45" s="133"/>
      <c r="N45" s="61"/>
      <c r="O45" s="83"/>
      <c r="P45" s="62"/>
    </row>
    <row r="46" spans="3:16" ht="18" customHeight="1">
      <c r="C46" s="61"/>
      <c r="D46" s="62"/>
      <c r="E46" s="61"/>
      <c r="F46" s="62"/>
      <c r="G46" s="63"/>
      <c r="H46" s="65"/>
      <c r="I46" s="64"/>
      <c r="J46" s="61"/>
      <c r="K46" s="62"/>
      <c r="L46" s="132"/>
      <c r="M46" s="133"/>
      <c r="N46" s="61"/>
      <c r="O46" s="83"/>
      <c r="P46" s="62"/>
    </row>
    <row r="47" spans="3:16" ht="18" customHeight="1">
      <c r="C47" s="61"/>
      <c r="D47" s="62"/>
      <c r="E47" s="61"/>
      <c r="F47" s="62"/>
      <c r="G47" s="63"/>
      <c r="H47" s="65"/>
      <c r="I47" s="64"/>
      <c r="J47" s="61"/>
      <c r="K47" s="62"/>
      <c r="L47" s="132"/>
      <c r="M47" s="133"/>
      <c r="N47" s="61"/>
      <c r="O47" s="83"/>
      <c r="P47" s="62"/>
    </row>
    <row r="48" spans="3:16" ht="18" customHeight="1">
      <c r="C48" s="61"/>
      <c r="D48" s="62"/>
      <c r="E48" s="61"/>
      <c r="F48" s="62"/>
      <c r="G48" s="63"/>
      <c r="H48" s="65"/>
      <c r="I48" s="64"/>
      <c r="J48" s="61"/>
      <c r="K48" s="62"/>
      <c r="L48" s="132"/>
      <c r="M48" s="133"/>
      <c r="N48" s="61"/>
      <c r="O48" s="83"/>
      <c r="P48" s="62"/>
    </row>
    <row r="49" spans="3:16" ht="18" customHeight="1">
      <c r="C49" s="61"/>
      <c r="D49" s="62"/>
      <c r="E49" s="61"/>
      <c r="F49" s="62"/>
      <c r="G49" s="63"/>
      <c r="H49" s="65"/>
      <c r="I49" s="64"/>
      <c r="J49" s="61"/>
      <c r="K49" s="62"/>
      <c r="L49" s="132"/>
      <c r="M49" s="133"/>
      <c r="N49" s="61"/>
      <c r="O49" s="83"/>
      <c r="P49" s="62"/>
    </row>
    <row r="50" spans="3:16" ht="18" customHeight="1">
      <c r="C50" s="61"/>
      <c r="D50" s="62"/>
      <c r="E50" s="61"/>
      <c r="F50" s="62"/>
      <c r="G50" s="63"/>
      <c r="H50" s="65"/>
      <c r="I50" s="64"/>
      <c r="J50" s="61"/>
      <c r="K50" s="62"/>
      <c r="L50" s="132"/>
      <c r="M50" s="133"/>
      <c r="N50" s="61"/>
      <c r="O50" s="83"/>
      <c r="P50" s="62"/>
    </row>
    <row r="51" spans="3:16" ht="18" customHeight="1">
      <c r="C51" s="61"/>
      <c r="D51" s="62"/>
      <c r="E51" s="61"/>
      <c r="F51" s="62"/>
      <c r="G51" s="63"/>
      <c r="H51" s="65"/>
      <c r="I51" s="64"/>
      <c r="J51" s="61"/>
      <c r="K51" s="62"/>
      <c r="L51" s="132"/>
      <c r="M51" s="133"/>
      <c r="N51" s="61"/>
      <c r="O51" s="83"/>
      <c r="P51" s="62"/>
    </row>
    <row r="52" spans="3:16" ht="18" customHeight="1">
      <c r="C52" s="61"/>
      <c r="D52" s="62"/>
      <c r="E52" s="61"/>
      <c r="F52" s="62"/>
      <c r="G52" s="63"/>
      <c r="H52" s="65"/>
      <c r="I52" s="64"/>
      <c r="J52" s="61"/>
      <c r="K52" s="62"/>
      <c r="L52" s="132"/>
      <c r="M52" s="133"/>
      <c r="N52" s="61"/>
      <c r="O52" s="83"/>
      <c r="P52" s="62"/>
    </row>
    <row r="53" spans="3:16" ht="18" customHeight="1">
      <c r="C53" s="61"/>
      <c r="D53" s="62"/>
      <c r="E53" s="61"/>
      <c r="F53" s="62"/>
      <c r="G53" s="63"/>
      <c r="H53" s="65"/>
      <c r="I53" s="64"/>
      <c r="J53" s="61"/>
      <c r="K53" s="62"/>
      <c r="L53" s="132"/>
      <c r="M53" s="133"/>
      <c r="N53" s="61"/>
      <c r="O53" s="83"/>
      <c r="P53" s="62"/>
    </row>
    <row r="54" spans="3:16" ht="18" customHeight="1">
      <c r="C54" s="61"/>
      <c r="D54" s="62"/>
      <c r="E54" s="61"/>
      <c r="F54" s="62"/>
      <c r="G54" s="63"/>
      <c r="H54" s="65"/>
      <c r="I54" s="64"/>
      <c r="J54" s="61"/>
      <c r="K54" s="62"/>
      <c r="L54" s="132"/>
      <c r="M54" s="133"/>
      <c r="N54" s="61"/>
      <c r="O54" s="83"/>
      <c r="P54" s="62"/>
    </row>
    <row r="55" spans="3:16" ht="18" customHeight="1">
      <c r="C55" s="61"/>
      <c r="D55" s="62"/>
      <c r="E55" s="61"/>
      <c r="F55" s="62"/>
      <c r="G55" s="63"/>
      <c r="H55" s="65"/>
      <c r="I55" s="64"/>
      <c r="J55" s="61"/>
      <c r="K55" s="62"/>
      <c r="L55" s="132"/>
      <c r="M55" s="133"/>
      <c r="N55" s="61"/>
      <c r="O55" s="83"/>
      <c r="P55" s="62"/>
    </row>
    <row r="56" spans="3:16" ht="21" customHeight="1"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</row>
    <row r="57" spans="3:16" ht="21" customHeight="1">
      <c r="C57" s="26" t="s">
        <v>299</v>
      </c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</row>
    <row r="58" spans="3:16" ht="21" customHeight="1"/>
    <row r="59" spans="3:16" ht="21" customHeight="1"/>
    <row r="60" spans="3:16" ht="21" customHeight="1"/>
    <row r="61" spans="3:16" ht="21" customHeight="1"/>
    <row r="62" spans="3:16" ht="21" customHeight="1"/>
    <row r="63" spans="3:16" ht="21" customHeight="1"/>
    <row r="64" spans="3:16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</sheetData>
  <sheetProtection password="C38A" sheet="1" scenarios="1" selectLockedCells="1" autoFilter="0" selectUnlockedCells="1"/>
  <mergeCells count="227">
    <mergeCell ref="C2:P4"/>
    <mergeCell ref="C5:P5"/>
    <mergeCell ref="C7:P9"/>
    <mergeCell ref="C11:P11"/>
    <mergeCell ref="C13:D14"/>
    <mergeCell ref="E13:H14"/>
    <mergeCell ref="I13:J14"/>
    <mergeCell ref="K13:M14"/>
    <mergeCell ref="N13:O14"/>
    <mergeCell ref="P13:P14"/>
    <mergeCell ref="C21:D21"/>
    <mergeCell ref="E21:F21"/>
    <mergeCell ref="G21:I21"/>
    <mergeCell ref="J21:K21"/>
    <mergeCell ref="L21:M21"/>
    <mergeCell ref="N21:P21"/>
    <mergeCell ref="C16:P17"/>
    <mergeCell ref="C19:D19"/>
    <mergeCell ref="E19:F19"/>
    <mergeCell ref="G19:I19"/>
    <mergeCell ref="J19:K19"/>
    <mergeCell ref="L19:M19"/>
    <mergeCell ref="N19:P19"/>
    <mergeCell ref="C23:D23"/>
    <mergeCell ref="E23:F23"/>
    <mergeCell ref="G23:I23"/>
    <mergeCell ref="J23:K23"/>
    <mergeCell ref="L23:M23"/>
    <mergeCell ref="N23:P23"/>
    <mergeCell ref="C22:D22"/>
    <mergeCell ref="E22:F22"/>
    <mergeCell ref="G22:I22"/>
    <mergeCell ref="J22:K22"/>
    <mergeCell ref="L22:M22"/>
    <mergeCell ref="N22:P22"/>
    <mergeCell ref="C25:D25"/>
    <mergeCell ref="E25:F25"/>
    <mergeCell ref="G25:I25"/>
    <mergeCell ref="J25:K25"/>
    <mergeCell ref="L25:M25"/>
    <mergeCell ref="N25:P25"/>
    <mergeCell ref="C24:D24"/>
    <mergeCell ref="E24:F24"/>
    <mergeCell ref="G24:I24"/>
    <mergeCell ref="J24:K24"/>
    <mergeCell ref="L24:M24"/>
    <mergeCell ref="N24:P24"/>
    <mergeCell ref="C27:D27"/>
    <mergeCell ref="E27:F27"/>
    <mergeCell ref="G27:I27"/>
    <mergeCell ref="J27:K27"/>
    <mergeCell ref="L27:M27"/>
    <mergeCell ref="N27:P27"/>
    <mergeCell ref="C26:D26"/>
    <mergeCell ref="E26:F26"/>
    <mergeCell ref="G26:I26"/>
    <mergeCell ref="J26:K26"/>
    <mergeCell ref="L26:M26"/>
    <mergeCell ref="N26:P26"/>
    <mergeCell ref="C29:D29"/>
    <mergeCell ref="E29:F29"/>
    <mergeCell ref="G29:I29"/>
    <mergeCell ref="J29:K29"/>
    <mergeCell ref="L29:M29"/>
    <mergeCell ref="N29:P29"/>
    <mergeCell ref="C28:D28"/>
    <mergeCell ref="E28:F28"/>
    <mergeCell ref="G28:I28"/>
    <mergeCell ref="J28:K28"/>
    <mergeCell ref="L28:M28"/>
    <mergeCell ref="N28:P28"/>
    <mergeCell ref="C31:D31"/>
    <mergeCell ref="E31:F31"/>
    <mergeCell ref="G31:I31"/>
    <mergeCell ref="J31:K31"/>
    <mergeCell ref="L31:M31"/>
    <mergeCell ref="N31:P31"/>
    <mergeCell ref="C30:D30"/>
    <mergeCell ref="E30:F30"/>
    <mergeCell ref="G30:I30"/>
    <mergeCell ref="J30:K30"/>
    <mergeCell ref="L30:M30"/>
    <mergeCell ref="N30:P30"/>
    <mergeCell ref="C33:D33"/>
    <mergeCell ref="E33:F33"/>
    <mergeCell ref="G33:I33"/>
    <mergeCell ref="J33:K33"/>
    <mergeCell ref="L33:M33"/>
    <mergeCell ref="N33:P33"/>
    <mergeCell ref="C32:D32"/>
    <mergeCell ref="E32:F32"/>
    <mergeCell ref="G32:I32"/>
    <mergeCell ref="J32:K32"/>
    <mergeCell ref="L32:M32"/>
    <mergeCell ref="N32:P32"/>
    <mergeCell ref="C35:D35"/>
    <mergeCell ref="E35:F35"/>
    <mergeCell ref="G35:I35"/>
    <mergeCell ref="J35:K35"/>
    <mergeCell ref="L35:M35"/>
    <mergeCell ref="N35:P35"/>
    <mergeCell ref="C34:D34"/>
    <mergeCell ref="E34:F34"/>
    <mergeCell ref="G34:I34"/>
    <mergeCell ref="J34:K34"/>
    <mergeCell ref="L34:M34"/>
    <mergeCell ref="N34:P34"/>
    <mergeCell ref="C37:D37"/>
    <mergeCell ref="E37:F37"/>
    <mergeCell ref="G37:I37"/>
    <mergeCell ref="J37:K37"/>
    <mergeCell ref="L37:M37"/>
    <mergeCell ref="N37:P37"/>
    <mergeCell ref="C36:D36"/>
    <mergeCell ref="E36:F36"/>
    <mergeCell ref="G36:I36"/>
    <mergeCell ref="J36:K36"/>
    <mergeCell ref="L36:M36"/>
    <mergeCell ref="N36:P36"/>
    <mergeCell ref="C39:D39"/>
    <mergeCell ref="E39:F39"/>
    <mergeCell ref="G39:I39"/>
    <mergeCell ref="J39:K39"/>
    <mergeCell ref="L39:M39"/>
    <mergeCell ref="N39:P39"/>
    <mergeCell ref="C38:D38"/>
    <mergeCell ref="E38:F38"/>
    <mergeCell ref="G38:I38"/>
    <mergeCell ref="J38:K38"/>
    <mergeCell ref="L38:M38"/>
    <mergeCell ref="N38:P38"/>
    <mergeCell ref="C41:D41"/>
    <mergeCell ref="E41:F41"/>
    <mergeCell ref="G41:I41"/>
    <mergeCell ref="J41:K41"/>
    <mergeCell ref="L41:M41"/>
    <mergeCell ref="N41:P41"/>
    <mergeCell ref="C40:D40"/>
    <mergeCell ref="E40:F40"/>
    <mergeCell ref="G40:I40"/>
    <mergeCell ref="J40:K40"/>
    <mergeCell ref="L40:M40"/>
    <mergeCell ref="N40:P40"/>
    <mergeCell ref="C43:D43"/>
    <mergeCell ref="E43:F43"/>
    <mergeCell ref="G43:I43"/>
    <mergeCell ref="J43:K43"/>
    <mergeCell ref="L43:M43"/>
    <mergeCell ref="N43:P43"/>
    <mergeCell ref="C42:D42"/>
    <mergeCell ref="E42:F42"/>
    <mergeCell ref="G42:I42"/>
    <mergeCell ref="J42:K42"/>
    <mergeCell ref="L42:M42"/>
    <mergeCell ref="N42:P42"/>
    <mergeCell ref="C45:D45"/>
    <mergeCell ref="E45:F45"/>
    <mergeCell ref="G45:I45"/>
    <mergeCell ref="J45:K45"/>
    <mergeCell ref="L45:M45"/>
    <mergeCell ref="N45:P45"/>
    <mergeCell ref="C44:D44"/>
    <mergeCell ref="E44:F44"/>
    <mergeCell ref="G44:I44"/>
    <mergeCell ref="J44:K44"/>
    <mergeCell ref="L44:M44"/>
    <mergeCell ref="N44:P44"/>
    <mergeCell ref="C47:D47"/>
    <mergeCell ref="E47:F47"/>
    <mergeCell ref="G47:I47"/>
    <mergeCell ref="J47:K47"/>
    <mergeCell ref="L47:M47"/>
    <mergeCell ref="N47:P47"/>
    <mergeCell ref="C46:D46"/>
    <mergeCell ref="E46:F46"/>
    <mergeCell ref="G46:I46"/>
    <mergeCell ref="J46:K46"/>
    <mergeCell ref="L46:M46"/>
    <mergeCell ref="N46:P46"/>
    <mergeCell ref="C49:D49"/>
    <mergeCell ref="E49:F49"/>
    <mergeCell ref="G49:I49"/>
    <mergeCell ref="J49:K49"/>
    <mergeCell ref="L49:M49"/>
    <mergeCell ref="N49:P49"/>
    <mergeCell ref="C48:D48"/>
    <mergeCell ref="E48:F48"/>
    <mergeCell ref="G48:I48"/>
    <mergeCell ref="J48:K48"/>
    <mergeCell ref="L48:M48"/>
    <mergeCell ref="N48:P48"/>
    <mergeCell ref="C51:D51"/>
    <mergeCell ref="E51:F51"/>
    <mergeCell ref="G51:I51"/>
    <mergeCell ref="J51:K51"/>
    <mergeCell ref="L51:M51"/>
    <mergeCell ref="N51:P51"/>
    <mergeCell ref="C50:D50"/>
    <mergeCell ref="E50:F50"/>
    <mergeCell ref="G50:I50"/>
    <mergeCell ref="J50:K50"/>
    <mergeCell ref="L50:M50"/>
    <mergeCell ref="N50:P50"/>
    <mergeCell ref="C53:D53"/>
    <mergeCell ref="E53:F53"/>
    <mergeCell ref="G53:I53"/>
    <mergeCell ref="J53:K53"/>
    <mergeCell ref="L53:M53"/>
    <mergeCell ref="N53:P53"/>
    <mergeCell ref="C52:D52"/>
    <mergeCell ref="E52:F52"/>
    <mergeCell ref="G52:I52"/>
    <mergeCell ref="J52:K52"/>
    <mergeCell ref="L52:M52"/>
    <mergeCell ref="N52:P52"/>
    <mergeCell ref="C55:D55"/>
    <mergeCell ref="E55:F55"/>
    <mergeCell ref="G55:I55"/>
    <mergeCell ref="J55:K55"/>
    <mergeCell ref="L55:M55"/>
    <mergeCell ref="N55:P55"/>
    <mergeCell ref="C54:D54"/>
    <mergeCell ref="E54:F54"/>
    <mergeCell ref="G54:I54"/>
    <mergeCell ref="J54:K54"/>
    <mergeCell ref="L54:M54"/>
    <mergeCell ref="N54:P54"/>
  </mergeCells>
  <printOptions horizontalCentered="1"/>
  <pageMargins left="0.25" right="0.25" top="0.35" bottom="0.35" header="0.3" footer="0.3"/>
  <pageSetup paperSize="9" scale="68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40B3-E81B-47C6-A23D-EDB4EFC92A63}">
  <sheetPr codeName="Sheet6"/>
  <dimension ref="A1:X46"/>
  <sheetViews>
    <sheetView showGridLines="0" topLeftCell="N1" zoomScale="70" zoomScaleNormal="70" workbookViewId="0">
      <selection activeCell="N1" sqref="N1"/>
    </sheetView>
  </sheetViews>
  <sheetFormatPr defaultRowHeight="12.5"/>
  <cols>
    <col min="1" max="2" width="28.6328125" style="27" customWidth="1"/>
    <col min="3" max="3" width="8.7265625" style="27"/>
    <col min="4" max="5" width="28.6328125" style="27" customWidth="1"/>
    <col min="6" max="6" width="8.7265625" style="27"/>
    <col min="7" max="8" width="28.6328125" style="27" customWidth="1"/>
    <col min="9" max="9" width="8.7265625" style="27"/>
    <col min="10" max="10" width="15.81640625" style="27" bestFit="1" customWidth="1"/>
    <col min="11" max="13" width="3.6328125" style="27" customWidth="1"/>
    <col min="14" max="15" width="12.6328125" style="27" customWidth="1"/>
    <col min="16" max="21" width="13.6328125" style="27" customWidth="1"/>
    <col min="22" max="23" width="12.6328125" style="27" customWidth="1"/>
    <col min="24" max="24" width="3.6328125" style="27" customWidth="1"/>
    <col min="25" max="25" width="8.7265625" style="27"/>
    <col min="26" max="27" width="0" style="27" hidden="1" customWidth="1"/>
    <col min="28" max="16384" width="8.7265625" style="27"/>
  </cols>
  <sheetData>
    <row r="1" spans="1:24" ht="22" customHeight="1">
      <c r="A1" s="179" t="s">
        <v>31</v>
      </c>
      <c r="B1" s="179"/>
      <c r="D1" s="28" t="s">
        <v>38</v>
      </c>
      <c r="E1" s="28" t="s">
        <v>46</v>
      </c>
      <c r="G1" s="28" t="s">
        <v>55</v>
      </c>
      <c r="H1" s="28" t="s">
        <v>66</v>
      </c>
      <c r="J1" s="28" t="s">
        <v>172</v>
      </c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</row>
    <row r="2" spans="1:24" ht="22" customHeight="1">
      <c r="K2" s="29"/>
      <c r="L2" s="29"/>
      <c r="M2" s="29"/>
      <c r="N2" s="119" t="s">
        <v>192</v>
      </c>
      <c r="O2" s="119"/>
      <c r="P2" s="119"/>
      <c r="Q2" s="119"/>
      <c r="R2" s="119"/>
      <c r="S2" s="119"/>
      <c r="T2" s="119"/>
      <c r="U2" s="119"/>
      <c r="V2" s="119"/>
      <c r="W2" s="119"/>
      <c r="X2" s="29"/>
    </row>
    <row r="3" spans="1:24" ht="22" customHeight="1">
      <c r="A3" s="30" t="s">
        <v>32</v>
      </c>
      <c r="B3" s="30" t="s">
        <v>33</v>
      </c>
      <c r="D3" s="27" t="s">
        <v>39</v>
      </c>
      <c r="E3" s="27" t="s">
        <v>47</v>
      </c>
      <c r="G3" s="27" t="s">
        <v>56</v>
      </c>
      <c r="H3" s="27" t="s">
        <v>67</v>
      </c>
      <c r="J3" s="27" t="s">
        <v>110</v>
      </c>
      <c r="K3" s="29"/>
      <c r="L3" s="29"/>
      <c r="M3" s="2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29"/>
    </row>
    <row r="4" spans="1:24" ht="22" customHeight="1">
      <c r="A4" s="30" t="s">
        <v>34</v>
      </c>
      <c r="B4" s="30">
        <v>3</v>
      </c>
      <c r="D4" s="27" t="s">
        <v>40</v>
      </c>
      <c r="E4" s="27" t="s">
        <v>48</v>
      </c>
      <c r="G4" s="27" t="s">
        <v>57</v>
      </c>
      <c r="H4" s="27" t="s">
        <v>68</v>
      </c>
      <c r="J4" s="27" t="s">
        <v>173</v>
      </c>
      <c r="K4" s="29"/>
      <c r="L4" s="29"/>
      <c r="M4" s="2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29"/>
    </row>
    <row r="5" spans="1:24" ht="22" customHeight="1">
      <c r="A5" s="30" t="s">
        <v>35</v>
      </c>
      <c r="B5" s="30">
        <v>30</v>
      </c>
      <c r="D5" s="27" t="s">
        <v>41</v>
      </c>
      <c r="E5" s="27" t="s">
        <v>49</v>
      </c>
      <c r="G5" s="27" t="s">
        <v>58</v>
      </c>
      <c r="H5" s="27" t="s">
        <v>69</v>
      </c>
      <c r="J5" s="27" t="s">
        <v>197</v>
      </c>
      <c r="K5" s="29"/>
      <c r="L5" s="29"/>
      <c r="M5" s="29"/>
      <c r="N5" s="100" t="s">
        <v>193</v>
      </c>
      <c r="O5" s="100"/>
      <c r="P5" s="100"/>
      <c r="Q5" s="100"/>
      <c r="R5" s="100"/>
      <c r="S5" s="100"/>
      <c r="T5" s="100"/>
      <c r="U5" s="100"/>
      <c r="V5" s="100"/>
      <c r="W5" s="100"/>
      <c r="X5" s="29"/>
    </row>
    <row r="6" spans="1:24" ht="22" customHeight="1">
      <c r="A6" s="30" t="s">
        <v>36</v>
      </c>
      <c r="B6" s="30" t="s">
        <v>37</v>
      </c>
      <c r="D6" s="27" t="s">
        <v>42</v>
      </c>
      <c r="E6" s="27" t="s">
        <v>50</v>
      </c>
      <c r="G6" s="27" t="s">
        <v>59</v>
      </c>
      <c r="J6" s="27" t="s">
        <v>198</v>
      </c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</row>
    <row r="7" spans="1:24" ht="22" customHeight="1">
      <c r="D7" s="27" t="s">
        <v>43</v>
      </c>
      <c r="E7" s="27" t="s">
        <v>51</v>
      </c>
      <c r="G7" s="27" t="s">
        <v>60</v>
      </c>
      <c r="J7" s="27" t="s">
        <v>294</v>
      </c>
      <c r="K7" s="29"/>
      <c r="L7" s="29"/>
      <c r="M7" s="29"/>
      <c r="N7" s="180" t="s">
        <v>194</v>
      </c>
      <c r="O7" s="180"/>
      <c r="P7" s="180"/>
      <c r="Q7" s="180"/>
      <c r="R7" s="180"/>
      <c r="S7" s="180"/>
      <c r="T7" s="180"/>
      <c r="U7" s="180"/>
      <c r="V7" s="180"/>
      <c r="W7" s="180"/>
      <c r="X7" s="29"/>
    </row>
    <row r="8" spans="1:24" ht="22" customHeight="1">
      <c r="D8" s="27" t="s">
        <v>44</v>
      </c>
      <c r="E8" s="27" t="s">
        <v>52</v>
      </c>
      <c r="G8" s="27" t="s">
        <v>61</v>
      </c>
      <c r="J8" s="27" t="s">
        <v>295</v>
      </c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</row>
    <row r="9" spans="1:24" ht="22" customHeight="1">
      <c r="D9" s="27" t="s">
        <v>45</v>
      </c>
      <c r="E9" s="27" t="s">
        <v>53</v>
      </c>
      <c r="G9" s="27" t="s">
        <v>62</v>
      </c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</row>
    <row r="10" spans="1:24" ht="22" customHeight="1">
      <c r="E10" s="27" t="s">
        <v>54</v>
      </c>
      <c r="G10" s="27" t="s">
        <v>63</v>
      </c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</row>
    <row r="11" spans="1:24" ht="22" customHeight="1">
      <c r="G11" s="27" t="s">
        <v>64</v>
      </c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</row>
    <row r="12" spans="1:24" ht="22" customHeight="1">
      <c r="G12" s="27" t="s">
        <v>65</v>
      </c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</row>
    <row r="13" spans="1:24" ht="22" customHeight="1">
      <c r="G13" s="27" t="s">
        <v>45</v>
      </c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</row>
    <row r="14" spans="1:24" ht="22" customHeight="1">
      <c r="G14" s="31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</row>
    <row r="15" spans="1:24" ht="22" customHeight="1"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</row>
    <row r="16" spans="1:24" ht="22" customHeight="1"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</row>
    <row r="17" spans="11:24" ht="22" customHeight="1"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</row>
    <row r="18" spans="11:24" ht="22" customHeight="1"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</row>
    <row r="19" spans="11:24" ht="22" customHeight="1"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</row>
    <row r="20" spans="11:24" ht="22" customHeight="1"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</row>
    <row r="21" spans="11:24" ht="22" customHeight="1"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</row>
    <row r="22" spans="11:24" ht="22" customHeight="1"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</row>
    <row r="23" spans="11:24" ht="22" customHeight="1"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</row>
    <row r="24" spans="11:24" ht="22" customHeight="1">
      <c r="K24" s="29"/>
      <c r="L24" s="29"/>
      <c r="M24" s="29"/>
      <c r="N24" s="181" t="s">
        <v>195</v>
      </c>
      <c r="O24" s="181"/>
      <c r="P24" s="181"/>
      <c r="Q24" s="181"/>
      <c r="R24" s="181"/>
      <c r="S24" s="181"/>
      <c r="T24" s="181"/>
      <c r="U24" s="181"/>
      <c r="V24" s="181"/>
      <c r="W24" s="181"/>
      <c r="X24" s="29"/>
    </row>
    <row r="25" spans="11:24" ht="22" customHeight="1"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</row>
    <row r="26" spans="11:24" ht="18" customHeight="1">
      <c r="K26" s="29"/>
      <c r="L26" s="29"/>
      <c r="M26" s="29"/>
      <c r="N26" s="176" t="s">
        <v>293</v>
      </c>
      <c r="O26" s="177"/>
      <c r="P26" s="177"/>
      <c r="Q26" s="177"/>
      <c r="R26" s="177"/>
      <c r="S26" s="177"/>
      <c r="T26" s="177"/>
      <c r="U26" s="177"/>
      <c r="V26" s="182"/>
      <c r="W26" s="182"/>
      <c r="X26" s="29"/>
    </row>
    <row r="27" spans="11:24" ht="18" customHeight="1">
      <c r="K27" s="29"/>
      <c r="L27" s="29"/>
      <c r="M27" s="29"/>
      <c r="N27" s="178"/>
      <c r="O27" s="178"/>
      <c r="P27" s="178"/>
      <c r="Q27" s="178"/>
      <c r="R27" s="178"/>
      <c r="S27" s="178"/>
      <c r="T27" s="178"/>
      <c r="U27" s="178"/>
      <c r="V27" s="183"/>
      <c r="W27" s="183"/>
      <c r="X27" s="29"/>
    </row>
    <row r="28" spans="11:24" ht="18" customHeight="1">
      <c r="K28" s="29"/>
      <c r="L28" s="29"/>
      <c r="M28" s="29"/>
      <c r="N28" s="178"/>
      <c r="O28" s="178"/>
      <c r="P28" s="178"/>
      <c r="Q28" s="178"/>
      <c r="R28" s="178"/>
      <c r="S28" s="178"/>
      <c r="T28" s="178"/>
      <c r="U28" s="178"/>
      <c r="V28" s="183"/>
      <c r="W28" s="183"/>
      <c r="X28" s="29"/>
    </row>
    <row r="29" spans="11:24" ht="18" customHeight="1">
      <c r="K29" s="29"/>
      <c r="L29" s="29"/>
      <c r="M29" s="29"/>
      <c r="N29" s="178"/>
      <c r="O29" s="178"/>
      <c r="P29" s="178"/>
      <c r="Q29" s="178"/>
      <c r="R29" s="178"/>
      <c r="S29" s="178"/>
      <c r="T29" s="178"/>
      <c r="U29" s="178"/>
      <c r="V29" s="183"/>
      <c r="W29" s="183"/>
      <c r="X29" s="29"/>
    </row>
    <row r="30" spans="11:24" ht="14">
      <c r="K30" s="29"/>
      <c r="L30" s="29"/>
      <c r="M30" s="29"/>
      <c r="X30" s="29"/>
    </row>
    <row r="31" spans="11:24" ht="18" customHeight="1"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</row>
    <row r="32" spans="11:24" ht="18" customHeight="1"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</row>
    <row r="33" spans="11:24" ht="18" customHeight="1">
      <c r="K33" s="29"/>
      <c r="L33" s="29"/>
      <c r="M33" s="29"/>
      <c r="N33" s="71" t="s">
        <v>196</v>
      </c>
      <c r="O33" s="71"/>
      <c r="P33" s="71"/>
      <c r="Q33" s="71"/>
      <c r="R33" s="71"/>
      <c r="S33" s="71"/>
      <c r="T33" s="71"/>
      <c r="U33" s="71"/>
      <c r="V33" s="71"/>
      <c r="W33" s="71"/>
      <c r="X33" s="29"/>
    </row>
    <row r="34" spans="11:24" ht="18" customHeight="1"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</row>
    <row r="35" spans="11:24" ht="18" customHeight="1"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</row>
    <row r="36" spans="11:24" ht="22" customHeight="1"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</row>
    <row r="37" spans="11:24" ht="22" customHeight="1"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</row>
    <row r="38" spans="11:24" ht="22" customHeight="1"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</row>
    <row r="39" spans="11:24" ht="22" customHeight="1"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</row>
    <row r="40" spans="11:24" ht="22" customHeight="1"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</row>
    <row r="41" spans="11:24" ht="22" customHeight="1"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</row>
    <row r="42" spans="11:24" ht="22" customHeight="1"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</row>
    <row r="43" spans="11:24" ht="22" customHeight="1"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</row>
    <row r="44" spans="11:24" ht="22" customHeight="1"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</row>
    <row r="45" spans="11:24" ht="22" customHeight="1"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</row>
    <row r="46" spans="11:24" ht="22" customHeight="1"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</row>
  </sheetData>
  <sheetProtection password="C38A" sheet="1" scenarios="1" selectLockedCells="1" autoFilter="0" selectUnlockedCells="1"/>
  <mergeCells count="8">
    <mergeCell ref="N33:W33"/>
    <mergeCell ref="N26:U29"/>
    <mergeCell ref="A1:B1"/>
    <mergeCell ref="N2:W4"/>
    <mergeCell ref="N5:W5"/>
    <mergeCell ref="N7:W7"/>
    <mergeCell ref="N24:W24"/>
    <mergeCell ref="V26:W2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HOME</vt:lpstr>
      <vt:lpstr>AC_UNITS</vt:lpstr>
      <vt:lpstr>BUILDINGS</vt:lpstr>
      <vt:lpstr>MAINTENANCE</vt:lpstr>
      <vt:lpstr>AC_SELECTOR</vt:lpstr>
      <vt:lpstr>MAINT_ENTRY</vt:lpstr>
      <vt:lpstr>REPORTS</vt:lpstr>
      <vt:lpstr>REPORT_VIEW</vt:lpstr>
      <vt:lpstr>SETTINGS</vt:lpstr>
      <vt:lpstr>AC_BUILDING_SEARCH</vt:lpstr>
      <vt:lpstr>AC_ENTRY_ACTION</vt:lpstr>
      <vt:lpstr>AC_ENTRY_ACTIVITY</vt:lpstr>
      <vt:lpstr>AC_ENTRY_COST</vt:lpstr>
      <vt:lpstr>AC_ENTRY_DATE</vt:lpstr>
      <vt:lpstr>AC_ENTRY_FINDING</vt:lpstr>
      <vt:lpstr>AC_ENTRY_NEXT_DUE</vt:lpstr>
      <vt:lpstr>AC_ENTRY_PARTS</vt:lpstr>
      <vt:lpstr>AC_ENTRY_REMARKS</vt:lpstr>
      <vt:lpstr>AC_ENTRY_SELECTED_ID</vt:lpstr>
      <vt:lpstr>AC_ENTRY_STATUS</vt:lpstr>
      <vt:lpstr>AC_ENTRY_TECHNICIAN</vt:lpstr>
      <vt:lpstr>AC_MAINT_SEARCH</vt:lpstr>
      <vt:lpstr>AC_SELECTOR_BUILDING</vt:lpstr>
      <vt:lpstr>AC_SELECTOR_SEARCH</vt:lpstr>
      <vt:lpstr>AC_SELECTOR_SELECTED_ID</vt:lpstr>
      <vt:lpstr>AC_SETTINGS_SELECTED_ITEM</vt:lpstr>
      <vt:lpstr>AC_SETTINGS_SELECTED_TYPE</vt:lpstr>
      <vt:lpstr>AC_UNIT_SEARCH</vt:lpstr>
      <vt:lpstr>REPORT_VIEW!Print_Area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DPWH - MM1DEO</dc:creator>
  <cp:lastModifiedBy>TEST LAPTOP</cp:lastModifiedBy>
  <cp:lastPrinted>2026-08-25T00:14:37Z</cp:lastPrinted>
  <dcterms:created xsi:type="dcterms:W3CDTF">2026-08-13T02:11:29Z</dcterms:created>
  <dcterms:modified xsi:type="dcterms:W3CDTF">2026-08-25T00:14:45Z</dcterms:modified>
</cp:coreProperties>
</file>